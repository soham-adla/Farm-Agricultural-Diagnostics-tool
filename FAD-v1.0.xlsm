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o_LabPC\Paper_Sochyd_Conf_Delft\Advisory_Diagnostics_Tool\"/>
    </mc:Choice>
  </mc:AlternateContent>
  <xr:revisionPtr revIDLastSave="0" documentId="13_ncr:1_{2DDF5DBB-8A91-4CFB-B5E5-4291EC0BEA42}" xr6:coauthVersionLast="47" xr6:coauthVersionMax="47" xr10:uidLastSave="{00000000-0000-0000-0000-000000000000}"/>
  <bookViews>
    <workbookView xWindow="-120" yWindow="-120" windowWidth="20730" windowHeight="11160" firstSheet="5" activeTab="9" xr2:uid="{00000000-000D-0000-FFFF-FFFF00000000}"/>
  </bookViews>
  <sheets>
    <sheet name="AHP_Scale" sheetId="17" r:id="rId1"/>
    <sheet name="Parameters_Soil" sheetId="12" r:id="rId2"/>
    <sheet name="1_Data" sheetId="10" r:id="rId3"/>
    <sheet name="2_Ranking" sheetId="14" r:id="rId4"/>
    <sheet name="3_PWCM" sheetId="18" r:id="rId5"/>
    <sheet name="Run_Macros" sheetId="93" r:id="rId6"/>
    <sheet name="4_SQI" sheetId="21" r:id="rId7"/>
    <sheet name="5_WUE" sheetId="23" r:id="rId8"/>
    <sheet name="6_Results" sheetId="24" r:id="rId9"/>
    <sheet name="7_Classification" sheetId="176" r:id="rId10"/>
  </sheets>
  <functionGroups builtInGroupCount="19"/>
  <definedNames>
    <definedName name="AHP_Value" localSheetId="6">OFFSET('4_SQI'!$H$3,,,SUM((LEN('4_SQI'!$H$3:$H$52)&gt;0)*1))</definedName>
    <definedName name="Material_Name" localSheetId="6">OFFSET('4_SQI'!$G$3,,,SUM((LEN('4_SQI'!$G$3:$G$52)&gt;0)*1))</definedName>
    <definedName name="Medium_Category_And_Material">#REF!</definedName>
    <definedName name="Parameter_List">#REF!</definedName>
    <definedName name="Rank" localSheetId="6">OFFSET('4_SQI'!#REF!,,,SUM((LEN('4_SQI'!#REF!)&gt;0)*1))</definedName>
  </definedNames>
  <calcPr calcId="191029"/>
</workbook>
</file>

<file path=xl/calcChain.xml><?xml version="1.0" encoding="utf-8"?>
<calcChain xmlns="http://schemas.openxmlformats.org/spreadsheetml/2006/main">
  <c r="A2" i="176" l="1"/>
  <c r="B2" i="176"/>
  <c r="B15" i="18" l="1"/>
  <c r="C15" i="18"/>
  <c r="D15" i="18"/>
  <c r="E15" i="18"/>
  <c r="F15" i="18"/>
  <c r="G15" i="18"/>
  <c r="H15" i="18"/>
  <c r="I15" i="18"/>
  <c r="J15" i="18"/>
  <c r="K15" i="18"/>
  <c r="L15" i="18"/>
  <c r="M15" i="18"/>
  <c r="N15" i="18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E2" i="10" l="1"/>
  <c r="C15" i="14" l="1"/>
  <c r="A15" i="18" s="1"/>
  <c r="C9" i="14"/>
  <c r="R2" i="10"/>
  <c r="Q2" i="10"/>
  <c r="P2" i="10"/>
  <c r="O2" i="10"/>
  <c r="N2" i="10"/>
  <c r="M2" i="10"/>
  <c r="O1" i="18" l="1"/>
  <c r="O15" i="18"/>
  <c r="A1001" i="21"/>
  <c r="A1002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A659" i="21"/>
  <c r="A660" i="21"/>
  <c r="A661" i="21"/>
  <c r="A662" i="21"/>
  <c r="A663" i="21"/>
  <c r="A664" i="21"/>
  <c r="A665" i="21"/>
  <c r="A666" i="21"/>
  <c r="A667" i="21"/>
  <c r="A668" i="21"/>
  <c r="A669" i="21"/>
  <c r="A670" i="21"/>
  <c r="A671" i="21"/>
  <c r="A672" i="21"/>
  <c r="A673" i="21"/>
  <c r="A674" i="21"/>
  <c r="A675" i="21"/>
  <c r="A676" i="21"/>
  <c r="A677" i="21"/>
  <c r="A678" i="21"/>
  <c r="A679" i="21"/>
  <c r="A680" i="21"/>
  <c r="A681" i="2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A694" i="21"/>
  <c r="A695" i="21"/>
  <c r="A696" i="21"/>
  <c r="A697" i="21"/>
  <c r="A698" i="21"/>
  <c r="A699" i="21"/>
  <c r="A700" i="21"/>
  <c r="A701" i="21"/>
  <c r="A702" i="21"/>
  <c r="A703" i="21"/>
  <c r="A704" i="21"/>
  <c r="A705" i="21"/>
  <c r="A706" i="21"/>
  <c r="A707" i="21"/>
  <c r="A708" i="21"/>
  <c r="A709" i="21"/>
  <c r="A710" i="21"/>
  <c r="A711" i="21"/>
  <c r="A712" i="21"/>
  <c r="A713" i="2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A726" i="21"/>
  <c r="A727" i="21"/>
  <c r="A728" i="21"/>
  <c r="A729" i="21"/>
  <c r="A730" i="21"/>
  <c r="A731" i="21"/>
  <c r="A732" i="21"/>
  <c r="A733" i="21"/>
  <c r="A734" i="21"/>
  <c r="A735" i="21"/>
  <c r="A736" i="21"/>
  <c r="A737" i="21"/>
  <c r="A738" i="21"/>
  <c r="A739" i="21"/>
  <c r="A740" i="21"/>
  <c r="A741" i="2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57" i="21"/>
  <c r="A758" i="21"/>
  <c r="A759" i="21"/>
  <c r="A760" i="21"/>
  <c r="A761" i="21"/>
  <c r="A762" i="21"/>
  <c r="A763" i="21"/>
  <c r="A764" i="21"/>
  <c r="A765" i="21"/>
  <c r="A766" i="21"/>
  <c r="A767" i="21"/>
  <c r="A768" i="21"/>
  <c r="A769" i="21"/>
  <c r="A770" i="21"/>
  <c r="A771" i="21"/>
  <c r="A772" i="21"/>
  <c r="A773" i="21"/>
  <c r="A774" i="21"/>
  <c r="A775" i="21"/>
  <c r="A776" i="21"/>
  <c r="A777" i="21"/>
  <c r="A778" i="21"/>
  <c r="A779" i="21"/>
  <c r="A780" i="21"/>
  <c r="A781" i="21"/>
  <c r="A782" i="21"/>
  <c r="A783" i="21"/>
  <c r="A784" i="21"/>
  <c r="A785" i="21"/>
  <c r="A786" i="21"/>
  <c r="A787" i="21"/>
  <c r="A788" i="21"/>
  <c r="A789" i="21"/>
  <c r="A790" i="21"/>
  <c r="A791" i="21"/>
  <c r="A792" i="21"/>
  <c r="A793" i="21"/>
  <c r="A794" i="21"/>
  <c r="A795" i="21"/>
  <c r="A796" i="21"/>
  <c r="A797" i="21"/>
  <c r="A798" i="21"/>
  <c r="A799" i="21"/>
  <c r="A800" i="21"/>
  <c r="A801" i="21"/>
  <c r="A802" i="21"/>
  <c r="A803" i="21"/>
  <c r="A804" i="21"/>
  <c r="A805" i="21"/>
  <c r="A806" i="21"/>
  <c r="A807" i="21"/>
  <c r="A808" i="21"/>
  <c r="A809" i="21"/>
  <c r="A810" i="21"/>
  <c r="A811" i="21"/>
  <c r="A812" i="21"/>
  <c r="A813" i="21"/>
  <c r="A814" i="21"/>
  <c r="A815" i="21"/>
  <c r="A816" i="21"/>
  <c r="A817" i="21"/>
  <c r="A818" i="21"/>
  <c r="A819" i="21"/>
  <c r="A820" i="21"/>
  <c r="A821" i="21"/>
  <c r="A822" i="21"/>
  <c r="A823" i="21"/>
  <c r="A824" i="21"/>
  <c r="A825" i="21"/>
  <c r="A826" i="21"/>
  <c r="A827" i="21"/>
  <c r="A828" i="21"/>
  <c r="A829" i="21"/>
  <c r="A830" i="21"/>
  <c r="A831" i="21"/>
  <c r="A832" i="21"/>
  <c r="A833" i="21"/>
  <c r="A834" i="21"/>
  <c r="A835" i="21"/>
  <c r="A836" i="21"/>
  <c r="A837" i="21"/>
  <c r="A838" i="21"/>
  <c r="A839" i="21"/>
  <c r="A840" i="21"/>
  <c r="A841" i="21"/>
  <c r="A842" i="21"/>
  <c r="A843" i="21"/>
  <c r="A844" i="21"/>
  <c r="A845" i="21"/>
  <c r="A846" i="21"/>
  <c r="A847" i="21"/>
  <c r="A848" i="21"/>
  <c r="A849" i="21"/>
  <c r="A850" i="21"/>
  <c r="A851" i="21"/>
  <c r="A852" i="21"/>
  <c r="A853" i="21"/>
  <c r="A854" i="21"/>
  <c r="A855" i="21"/>
  <c r="A856" i="21"/>
  <c r="A857" i="21"/>
  <c r="A858" i="21"/>
  <c r="A859" i="21"/>
  <c r="A860" i="21"/>
  <c r="A861" i="21"/>
  <c r="A862" i="21"/>
  <c r="A863" i="21"/>
  <c r="A864" i="21"/>
  <c r="A865" i="21"/>
  <c r="A866" i="21"/>
  <c r="A867" i="21"/>
  <c r="A868" i="21"/>
  <c r="A869" i="21"/>
  <c r="A870" i="21"/>
  <c r="A871" i="21"/>
  <c r="A872" i="21"/>
  <c r="A873" i="21"/>
  <c r="A874" i="21"/>
  <c r="A875" i="21"/>
  <c r="A876" i="21"/>
  <c r="A877" i="21"/>
  <c r="A878" i="21"/>
  <c r="A879" i="21"/>
  <c r="A880" i="21"/>
  <c r="A881" i="21"/>
  <c r="A882" i="21"/>
  <c r="A883" i="21"/>
  <c r="A884" i="21"/>
  <c r="A885" i="21"/>
  <c r="A886" i="21"/>
  <c r="A887" i="21"/>
  <c r="A888" i="21"/>
  <c r="A889" i="21"/>
  <c r="A890" i="21"/>
  <c r="A891" i="21"/>
  <c r="A892" i="21"/>
  <c r="A893" i="21"/>
  <c r="A894" i="21"/>
  <c r="A895" i="21"/>
  <c r="A896" i="21"/>
  <c r="A897" i="21"/>
  <c r="A898" i="21"/>
  <c r="A899" i="21"/>
  <c r="A900" i="21"/>
  <c r="A901" i="21"/>
  <c r="A902" i="21"/>
  <c r="A903" i="21"/>
  <c r="A904" i="21"/>
  <c r="A905" i="21"/>
  <c r="A906" i="21"/>
  <c r="A907" i="21"/>
  <c r="A908" i="21"/>
  <c r="A909" i="21"/>
  <c r="A910" i="21"/>
  <c r="A911" i="21"/>
  <c r="A912" i="21"/>
  <c r="A913" i="21"/>
  <c r="A914" i="21"/>
  <c r="A915" i="21"/>
  <c r="A916" i="21"/>
  <c r="A917" i="21"/>
  <c r="A918" i="21"/>
  <c r="A919" i="21"/>
  <c r="A920" i="21"/>
  <c r="A921" i="21"/>
  <c r="A922" i="21"/>
  <c r="A923" i="21"/>
  <c r="A924" i="21"/>
  <c r="A925" i="21"/>
  <c r="A926" i="21"/>
  <c r="A927" i="21"/>
  <c r="A928" i="21"/>
  <c r="A929" i="21"/>
  <c r="A930" i="21"/>
  <c r="A931" i="21"/>
  <c r="A932" i="21"/>
  <c r="A933" i="21"/>
  <c r="A934" i="21"/>
  <c r="A935" i="21"/>
  <c r="A936" i="21"/>
  <c r="A937" i="21"/>
  <c r="A938" i="21"/>
  <c r="A939" i="21"/>
  <c r="A940" i="21"/>
  <c r="A941" i="21"/>
  <c r="A942" i="21"/>
  <c r="A943" i="21"/>
  <c r="A944" i="21"/>
  <c r="A945" i="21"/>
  <c r="A946" i="21"/>
  <c r="A947" i="21"/>
  <c r="A948" i="21"/>
  <c r="A949" i="21"/>
  <c r="A950" i="21"/>
  <c r="A951" i="21"/>
  <c r="A952" i="21"/>
  <c r="A953" i="21"/>
  <c r="A954" i="21"/>
  <c r="A955" i="21"/>
  <c r="A956" i="21"/>
  <c r="A957" i="21"/>
  <c r="A958" i="21"/>
  <c r="A959" i="21"/>
  <c r="A960" i="21"/>
  <c r="A961" i="21"/>
  <c r="A962" i="21"/>
  <c r="A963" i="21"/>
  <c r="A964" i="21"/>
  <c r="A965" i="21"/>
  <c r="A966" i="21"/>
  <c r="A967" i="21"/>
  <c r="A968" i="21"/>
  <c r="A969" i="21"/>
  <c r="A970" i="21"/>
  <c r="A971" i="21"/>
  <c r="A972" i="21"/>
  <c r="A973" i="21"/>
  <c r="A974" i="21"/>
  <c r="A975" i="21"/>
  <c r="A976" i="21"/>
  <c r="A977" i="21"/>
  <c r="A978" i="21"/>
  <c r="A979" i="21"/>
  <c r="A980" i="21"/>
  <c r="A981" i="21"/>
  <c r="A982" i="21"/>
  <c r="A983" i="21"/>
  <c r="A984" i="21"/>
  <c r="A985" i="21"/>
  <c r="A986" i="21"/>
  <c r="A987" i="21"/>
  <c r="A988" i="21"/>
  <c r="A989" i="21"/>
  <c r="A990" i="21"/>
  <c r="A991" i="21"/>
  <c r="A992" i="21"/>
  <c r="A993" i="21"/>
  <c r="A994" i="21"/>
  <c r="A995" i="21"/>
  <c r="A996" i="21"/>
  <c r="A997" i="21"/>
  <c r="A998" i="21"/>
  <c r="A999" i="21"/>
  <c r="A1000" i="21"/>
  <c r="A4" i="21"/>
  <c r="A3" i="21"/>
  <c r="G3" i="21" l="1"/>
  <c r="G4" i="21"/>
  <c r="G8" i="21"/>
  <c r="G12" i="21"/>
  <c r="G16" i="21"/>
  <c r="G20" i="21"/>
  <c r="G24" i="21"/>
  <c r="G28" i="21"/>
  <c r="G32" i="21"/>
  <c r="G36" i="21"/>
  <c r="G40" i="21"/>
  <c r="G44" i="21"/>
  <c r="G48" i="21"/>
  <c r="G52" i="21"/>
  <c r="G56" i="21"/>
  <c r="G60" i="21"/>
  <c r="G64" i="21"/>
  <c r="G68" i="21"/>
  <c r="G72" i="21"/>
  <c r="G76" i="21"/>
  <c r="G80" i="21"/>
  <c r="G84" i="21"/>
  <c r="G88" i="21"/>
  <c r="G92" i="21"/>
  <c r="G96" i="21"/>
  <c r="G100" i="21"/>
  <c r="G104" i="21"/>
  <c r="G108" i="21"/>
  <c r="G112" i="21"/>
  <c r="G116" i="21"/>
  <c r="G120" i="21"/>
  <c r="G124" i="21"/>
  <c r="G128" i="21"/>
  <c r="G132" i="21"/>
  <c r="G136" i="21"/>
  <c r="G140" i="21"/>
  <c r="G144" i="21"/>
  <c r="G148" i="21"/>
  <c r="G152" i="21"/>
  <c r="G156" i="21"/>
  <c r="G160" i="21"/>
  <c r="G164" i="21"/>
  <c r="G168" i="21"/>
  <c r="G172" i="21"/>
  <c r="G176" i="21"/>
  <c r="G180" i="21"/>
  <c r="G184" i="21"/>
  <c r="G188" i="21"/>
  <c r="G192" i="21"/>
  <c r="G196" i="21"/>
  <c r="G200" i="21"/>
  <c r="G204" i="21"/>
  <c r="G208" i="21"/>
  <c r="G212" i="21"/>
  <c r="G216" i="21"/>
  <c r="G220" i="21"/>
  <c r="G224" i="21"/>
  <c r="G228" i="21"/>
  <c r="G232" i="21"/>
  <c r="G236" i="21"/>
  <c r="G240" i="21"/>
  <c r="G244" i="21"/>
  <c r="G248" i="21"/>
  <c r="G252" i="21"/>
  <c r="G256" i="21"/>
  <c r="G260" i="21"/>
  <c r="G264" i="21"/>
  <c r="G268" i="21"/>
  <c r="G272" i="21"/>
  <c r="G276" i="21"/>
  <c r="G280" i="21"/>
  <c r="G284" i="21"/>
  <c r="G288" i="21"/>
  <c r="G292" i="21"/>
  <c r="G296" i="21"/>
  <c r="G300" i="21"/>
  <c r="G304" i="21"/>
  <c r="G308" i="21"/>
  <c r="G312" i="21"/>
  <c r="G316" i="21"/>
  <c r="G320" i="21"/>
  <c r="G324" i="21"/>
  <c r="G328" i="21"/>
  <c r="G332" i="21"/>
  <c r="G336" i="21"/>
  <c r="G340" i="21"/>
  <c r="H4" i="21"/>
  <c r="H8" i="21"/>
  <c r="H12" i="21"/>
  <c r="H16" i="21"/>
  <c r="H20" i="21"/>
  <c r="H24" i="21"/>
  <c r="H28" i="21"/>
  <c r="H32" i="21"/>
  <c r="H36" i="21"/>
  <c r="H40" i="21"/>
  <c r="H44" i="21"/>
  <c r="H48" i="21"/>
  <c r="H52" i="21"/>
  <c r="H56" i="21"/>
  <c r="H60" i="21"/>
  <c r="H64" i="21"/>
  <c r="H68" i="21"/>
  <c r="H72" i="21"/>
  <c r="H76" i="21"/>
  <c r="H80" i="21"/>
  <c r="H84" i="21"/>
  <c r="H88" i="21"/>
  <c r="H92" i="21"/>
  <c r="H96" i="21"/>
  <c r="H100" i="21"/>
  <c r="H104" i="21"/>
  <c r="H108" i="21"/>
  <c r="H112" i="21"/>
  <c r="H116" i="21"/>
  <c r="H120" i="21"/>
  <c r="H124" i="21"/>
  <c r="H128" i="21"/>
  <c r="H132" i="21"/>
  <c r="H136" i="21"/>
  <c r="H140" i="21"/>
  <c r="H144" i="21"/>
  <c r="H148" i="21"/>
  <c r="H152" i="21"/>
  <c r="H156" i="21"/>
  <c r="H160" i="21"/>
  <c r="H164" i="21"/>
  <c r="H168" i="21"/>
  <c r="H172" i="21"/>
  <c r="H176" i="21"/>
  <c r="H180" i="21"/>
  <c r="H184" i="21"/>
  <c r="H188" i="21"/>
  <c r="H192" i="21"/>
  <c r="H196" i="21"/>
  <c r="H200" i="21"/>
  <c r="H204" i="21"/>
  <c r="H208" i="21"/>
  <c r="H212" i="21"/>
  <c r="H216" i="21"/>
  <c r="H220" i="21"/>
  <c r="H224" i="21"/>
  <c r="H228" i="21"/>
  <c r="H232" i="21"/>
  <c r="H236" i="21"/>
  <c r="G5" i="21"/>
  <c r="G9" i="21"/>
  <c r="G13" i="21"/>
  <c r="G17" i="21"/>
  <c r="G21" i="21"/>
  <c r="G25" i="21"/>
  <c r="G29" i="21"/>
  <c r="G33" i="21"/>
  <c r="G37" i="21"/>
  <c r="G41" i="21"/>
  <c r="G45" i="21"/>
  <c r="G49" i="21"/>
  <c r="G53" i="21"/>
  <c r="G57" i="21"/>
  <c r="G61" i="21"/>
  <c r="G65" i="21"/>
  <c r="G69" i="21"/>
  <c r="G73" i="21"/>
  <c r="G77" i="21"/>
  <c r="G81" i="21"/>
  <c r="G85" i="21"/>
  <c r="G89" i="21"/>
  <c r="G93" i="21"/>
  <c r="G97" i="21"/>
  <c r="G101" i="21"/>
  <c r="G105" i="21"/>
  <c r="G109" i="21"/>
  <c r="G113" i="21"/>
  <c r="G117" i="21"/>
  <c r="G121" i="21"/>
  <c r="G125" i="21"/>
  <c r="G129" i="21"/>
  <c r="G133" i="21"/>
  <c r="G137" i="21"/>
  <c r="G141" i="21"/>
  <c r="G145" i="21"/>
  <c r="G149" i="21"/>
  <c r="G153" i="21"/>
  <c r="G157" i="21"/>
  <c r="G161" i="21"/>
  <c r="G165" i="21"/>
  <c r="G169" i="21"/>
  <c r="G173" i="21"/>
  <c r="G177" i="21"/>
  <c r="G181" i="21"/>
  <c r="G185" i="21"/>
  <c r="G189" i="21"/>
  <c r="G193" i="21"/>
  <c r="G197" i="21"/>
  <c r="G201" i="21"/>
  <c r="G205" i="21"/>
  <c r="G209" i="21"/>
  <c r="G213" i="21"/>
  <c r="G217" i="21"/>
  <c r="G221" i="21"/>
  <c r="G225" i="21"/>
  <c r="G229" i="21"/>
  <c r="G233" i="21"/>
  <c r="G237" i="21"/>
  <c r="G241" i="21"/>
  <c r="G245" i="21"/>
  <c r="G249" i="21"/>
  <c r="G253" i="21"/>
  <c r="G257" i="21"/>
  <c r="G261" i="21"/>
  <c r="G265" i="21"/>
  <c r="G269" i="21"/>
  <c r="G273" i="21"/>
  <c r="G277" i="21"/>
  <c r="G281" i="21"/>
  <c r="H5" i="21"/>
  <c r="H9" i="21"/>
  <c r="H13" i="21"/>
  <c r="H17" i="21"/>
  <c r="H21" i="21"/>
  <c r="H25" i="21"/>
  <c r="H29" i="21"/>
  <c r="H33" i="21"/>
  <c r="H37" i="21"/>
  <c r="H41" i="21"/>
  <c r="H45" i="21"/>
  <c r="H49" i="21"/>
  <c r="H53" i="21"/>
  <c r="H57" i="21"/>
  <c r="H61" i="21"/>
  <c r="H65" i="21"/>
  <c r="H69" i="21"/>
  <c r="H73" i="21"/>
  <c r="H77" i="21"/>
  <c r="H81" i="21"/>
  <c r="H85" i="21"/>
  <c r="H89" i="21"/>
  <c r="H93" i="21"/>
  <c r="H97" i="21"/>
  <c r="H101" i="21"/>
  <c r="H105" i="21"/>
  <c r="H109" i="21"/>
  <c r="H113" i="21"/>
  <c r="H117" i="21"/>
  <c r="H121" i="21"/>
  <c r="H125" i="21"/>
  <c r="H129" i="21"/>
  <c r="H133" i="21"/>
  <c r="H137" i="21"/>
  <c r="H141" i="21"/>
  <c r="H145" i="21"/>
  <c r="H149" i="21"/>
  <c r="H153" i="21"/>
  <c r="H157" i="21"/>
  <c r="H161" i="21"/>
  <c r="H165" i="21"/>
  <c r="H169" i="21"/>
  <c r="H173" i="21"/>
  <c r="H177" i="21"/>
  <c r="H181" i="21"/>
  <c r="H185" i="21"/>
  <c r="H189" i="21"/>
  <c r="H193" i="21"/>
  <c r="H197" i="21"/>
  <c r="H201" i="21"/>
  <c r="H205" i="21"/>
  <c r="H209" i="21"/>
  <c r="H213" i="21"/>
  <c r="H217" i="21"/>
  <c r="H221" i="21"/>
  <c r="H225" i="21"/>
  <c r="H229" i="21"/>
  <c r="H233" i="21"/>
  <c r="G6" i="21"/>
  <c r="G10" i="21"/>
  <c r="G14" i="21"/>
  <c r="G18" i="21"/>
  <c r="G22" i="21"/>
  <c r="G26" i="21"/>
  <c r="G30" i="21"/>
  <c r="G34" i="21"/>
  <c r="G38" i="21"/>
  <c r="G42" i="21"/>
  <c r="G46" i="21"/>
  <c r="G50" i="21"/>
  <c r="G54" i="21"/>
  <c r="G58" i="21"/>
  <c r="G62" i="21"/>
  <c r="G66" i="21"/>
  <c r="G70" i="21"/>
  <c r="G74" i="21"/>
  <c r="G78" i="21"/>
  <c r="G82" i="21"/>
  <c r="G86" i="21"/>
  <c r="G90" i="21"/>
  <c r="G94" i="21"/>
  <c r="G98" i="21"/>
  <c r="G102" i="21"/>
  <c r="G106" i="21"/>
  <c r="G110" i="21"/>
  <c r="G114" i="21"/>
  <c r="G118" i="21"/>
  <c r="G122" i="21"/>
  <c r="G126" i="21"/>
  <c r="G130" i="21"/>
  <c r="G134" i="21"/>
  <c r="G138" i="21"/>
  <c r="G142" i="21"/>
  <c r="G146" i="21"/>
  <c r="G150" i="21"/>
  <c r="G154" i="21"/>
  <c r="G158" i="21"/>
  <c r="G162" i="21"/>
  <c r="G166" i="21"/>
  <c r="G170" i="21"/>
  <c r="G174" i="21"/>
  <c r="G178" i="21"/>
  <c r="G182" i="21"/>
  <c r="G186" i="21"/>
  <c r="G190" i="21"/>
  <c r="G194" i="21"/>
  <c r="G198" i="21"/>
  <c r="G202" i="21"/>
  <c r="G206" i="21"/>
  <c r="G210" i="21"/>
  <c r="G214" i="21"/>
  <c r="G218" i="21"/>
  <c r="G222" i="21"/>
  <c r="G226" i="21"/>
  <c r="G230" i="21"/>
  <c r="G234" i="21"/>
  <c r="G238" i="21"/>
  <c r="G242" i="21"/>
  <c r="G246" i="21"/>
  <c r="H6" i="21"/>
  <c r="H10" i="21"/>
  <c r="H14" i="21"/>
  <c r="H18" i="21"/>
  <c r="H22" i="21"/>
  <c r="H26" i="21"/>
  <c r="H30" i="21"/>
  <c r="H34" i="21"/>
  <c r="H38" i="21"/>
  <c r="H42" i="21"/>
  <c r="H46" i="21"/>
  <c r="H50" i="21"/>
  <c r="H54" i="21"/>
  <c r="H58" i="21"/>
  <c r="H62" i="21"/>
  <c r="H66" i="21"/>
  <c r="H70" i="21"/>
  <c r="H74" i="21"/>
  <c r="H78" i="21"/>
  <c r="H82" i="21"/>
  <c r="H86" i="21"/>
  <c r="H90" i="21"/>
  <c r="H94" i="21"/>
  <c r="H98" i="21"/>
  <c r="H102" i="21"/>
  <c r="H106" i="21"/>
  <c r="H110" i="21"/>
  <c r="H114" i="21"/>
  <c r="H118" i="21"/>
  <c r="H122" i="21"/>
  <c r="H126" i="21"/>
  <c r="H130" i="21"/>
  <c r="H134" i="21"/>
  <c r="H138" i="21"/>
  <c r="H142" i="21"/>
  <c r="H146" i="21"/>
  <c r="H150" i="21"/>
  <c r="H154" i="21"/>
  <c r="H158" i="21"/>
  <c r="H162" i="21"/>
  <c r="H166" i="21"/>
  <c r="H170" i="21"/>
  <c r="H174" i="21"/>
  <c r="H178" i="21"/>
  <c r="H182" i="21"/>
  <c r="H186" i="21"/>
  <c r="H190" i="21"/>
  <c r="H194" i="21"/>
  <c r="H198" i="21"/>
  <c r="H202" i="21"/>
  <c r="H206" i="21"/>
  <c r="H210" i="21"/>
  <c r="H214" i="21"/>
  <c r="H218" i="21"/>
  <c r="H222" i="21"/>
  <c r="H226" i="21"/>
  <c r="H230" i="21"/>
  <c r="H234" i="21"/>
  <c r="H238" i="21"/>
  <c r="G7" i="21"/>
  <c r="G11" i="21"/>
  <c r="G15" i="21"/>
  <c r="G19" i="21"/>
  <c r="G23" i="21"/>
  <c r="G27" i="21"/>
  <c r="G31" i="21"/>
  <c r="G35" i="21"/>
  <c r="G39" i="21"/>
  <c r="G43" i="21"/>
  <c r="G47" i="21"/>
  <c r="G51" i="21"/>
  <c r="G55" i="21"/>
  <c r="G59" i="21"/>
  <c r="G63" i="21"/>
  <c r="G67" i="21"/>
  <c r="G71" i="21"/>
  <c r="G75" i="21"/>
  <c r="G79" i="21"/>
  <c r="G83" i="21"/>
  <c r="G87" i="21"/>
  <c r="G91" i="21"/>
  <c r="G95" i="21"/>
  <c r="G99" i="21"/>
  <c r="G103" i="21"/>
  <c r="G107" i="21"/>
  <c r="G111" i="21"/>
  <c r="G115" i="21"/>
  <c r="G119" i="21"/>
  <c r="G123" i="21"/>
  <c r="G127" i="21"/>
  <c r="G131" i="21"/>
  <c r="G135" i="21"/>
  <c r="G139" i="21"/>
  <c r="G143" i="21"/>
  <c r="G147" i="21"/>
  <c r="G151" i="21"/>
  <c r="G155" i="21"/>
  <c r="G159" i="21"/>
  <c r="G163" i="21"/>
  <c r="G167" i="21"/>
  <c r="G171" i="21"/>
  <c r="G175" i="21"/>
  <c r="G179" i="21"/>
  <c r="G183" i="21"/>
  <c r="G187" i="21"/>
  <c r="G191" i="21"/>
  <c r="G195" i="21"/>
  <c r="G199" i="21"/>
  <c r="G203" i="21"/>
  <c r="G207" i="21"/>
  <c r="G211" i="21"/>
  <c r="G215" i="21"/>
  <c r="G219" i="21"/>
  <c r="G223" i="21"/>
  <c r="G227" i="21"/>
  <c r="G231" i="21"/>
  <c r="G235" i="21"/>
  <c r="G239" i="21"/>
  <c r="G243" i="21"/>
  <c r="G247" i="21"/>
  <c r="H7" i="21"/>
  <c r="H39" i="21"/>
  <c r="H71" i="21"/>
  <c r="H103" i="21"/>
  <c r="H135" i="21"/>
  <c r="H167" i="21"/>
  <c r="H199" i="21"/>
  <c r="H231" i="21"/>
  <c r="H244" i="21"/>
  <c r="G251" i="21"/>
  <c r="H256" i="21"/>
  <c r="G262" i="21"/>
  <c r="G267" i="21"/>
  <c r="H272" i="21"/>
  <c r="G278" i="21"/>
  <c r="G283" i="21"/>
  <c r="H287" i="21"/>
  <c r="H292" i="21"/>
  <c r="G297" i="21"/>
  <c r="H301" i="21"/>
  <c r="G306" i="21"/>
  <c r="H310" i="21"/>
  <c r="G315" i="21"/>
  <c r="H319" i="21"/>
  <c r="H324" i="21"/>
  <c r="G329" i="21"/>
  <c r="H333" i="21"/>
  <c r="G338" i="21"/>
  <c r="H342" i="21"/>
  <c r="H346" i="21"/>
  <c r="H350" i="21"/>
  <c r="H354" i="21"/>
  <c r="H358" i="21"/>
  <c r="H362" i="21"/>
  <c r="H366" i="21"/>
  <c r="H370" i="21"/>
  <c r="H374" i="21"/>
  <c r="H378" i="21"/>
  <c r="H382" i="21"/>
  <c r="H386" i="21"/>
  <c r="H390" i="21"/>
  <c r="H394" i="21"/>
  <c r="H398" i="21"/>
  <c r="H402" i="21"/>
  <c r="H406" i="21"/>
  <c r="H410" i="21"/>
  <c r="H414" i="21"/>
  <c r="H418" i="21"/>
  <c r="H422" i="21"/>
  <c r="H426" i="21"/>
  <c r="H430" i="21"/>
  <c r="H434" i="21"/>
  <c r="H438" i="21"/>
  <c r="H442" i="21"/>
  <c r="H446" i="21"/>
  <c r="H450" i="21"/>
  <c r="H454" i="21"/>
  <c r="H458" i="21"/>
  <c r="H462" i="21"/>
  <c r="H466" i="21"/>
  <c r="H470" i="21"/>
  <c r="H474" i="21"/>
  <c r="H478" i="21"/>
  <c r="H482" i="21"/>
  <c r="H486" i="21"/>
  <c r="H490" i="21"/>
  <c r="H494" i="21"/>
  <c r="H498" i="21"/>
  <c r="H502" i="21"/>
  <c r="H506" i="21"/>
  <c r="H510" i="21"/>
  <c r="H514" i="21"/>
  <c r="H518" i="21"/>
  <c r="H522" i="21"/>
  <c r="H526" i="21"/>
  <c r="H530" i="21"/>
  <c r="H534" i="21"/>
  <c r="H538" i="21"/>
  <c r="H542" i="21"/>
  <c r="H546" i="21"/>
  <c r="H550" i="21"/>
  <c r="H554" i="21"/>
  <c r="H558" i="21"/>
  <c r="H562" i="21"/>
  <c r="H566" i="21"/>
  <c r="H570" i="21"/>
  <c r="H574" i="21"/>
  <c r="H578" i="21"/>
  <c r="H582" i="21"/>
  <c r="H586" i="21"/>
  <c r="H590" i="21"/>
  <c r="H594" i="21"/>
  <c r="H598" i="21"/>
  <c r="H602" i="21"/>
  <c r="H606" i="21"/>
  <c r="H610" i="21"/>
  <c r="H614" i="21"/>
  <c r="H618" i="21"/>
  <c r="H622" i="21"/>
  <c r="H626" i="21"/>
  <c r="H630" i="21"/>
  <c r="H634" i="21"/>
  <c r="H638" i="21"/>
  <c r="H642" i="21"/>
  <c r="H646" i="21"/>
  <c r="H650" i="21"/>
  <c r="H654" i="21"/>
  <c r="H658" i="21"/>
  <c r="H662" i="21"/>
  <c r="H666" i="21"/>
  <c r="H670" i="21"/>
  <c r="H674" i="21"/>
  <c r="H678" i="21"/>
  <c r="H682" i="21"/>
  <c r="H686" i="21"/>
  <c r="H690" i="21"/>
  <c r="H694" i="21"/>
  <c r="H698" i="21"/>
  <c r="H11" i="21"/>
  <c r="H43" i="21"/>
  <c r="H75" i="21"/>
  <c r="H107" i="21"/>
  <c r="H139" i="21"/>
  <c r="H171" i="21"/>
  <c r="H203" i="21"/>
  <c r="H235" i="21"/>
  <c r="H245" i="21"/>
  <c r="H251" i="21"/>
  <c r="H257" i="21"/>
  <c r="H262" i="21"/>
  <c r="H267" i="21"/>
  <c r="H273" i="21"/>
  <c r="H278" i="21"/>
  <c r="H283" i="21"/>
  <c r="H288" i="21"/>
  <c r="G293" i="21"/>
  <c r="H297" i="21"/>
  <c r="G302" i="21"/>
  <c r="H306" i="21"/>
  <c r="G311" i="21"/>
  <c r="H315" i="21"/>
  <c r="H320" i="21"/>
  <c r="G325" i="21"/>
  <c r="H329" i="21"/>
  <c r="G334" i="21"/>
  <c r="H338" i="21"/>
  <c r="G343" i="21"/>
  <c r="G347" i="21"/>
  <c r="G351" i="21"/>
  <c r="G355" i="21"/>
  <c r="G359" i="21"/>
  <c r="G363" i="21"/>
  <c r="G367" i="21"/>
  <c r="G371" i="21"/>
  <c r="G375" i="21"/>
  <c r="G379" i="21"/>
  <c r="G383" i="21"/>
  <c r="G387" i="21"/>
  <c r="G391" i="21"/>
  <c r="G395" i="21"/>
  <c r="G399" i="21"/>
  <c r="G403" i="21"/>
  <c r="G407" i="21"/>
  <c r="G411" i="21"/>
  <c r="G415" i="21"/>
  <c r="G419" i="21"/>
  <c r="G423" i="21"/>
  <c r="G427" i="21"/>
  <c r="G431" i="21"/>
  <c r="G435" i="21"/>
  <c r="G439" i="21"/>
  <c r="G443" i="21"/>
  <c r="G447" i="21"/>
  <c r="G451" i="21"/>
  <c r="G455" i="21"/>
  <c r="G459" i="21"/>
  <c r="G463" i="21"/>
  <c r="G467" i="21"/>
  <c r="G471" i="21"/>
  <c r="G475" i="21"/>
  <c r="G479" i="21"/>
  <c r="G483" i="21"/>
  <c r="G487" i="21"/>
  <c r="G491" i="21"/>
  <c r="G495" i="21"/>
  <c r="G499" i="21"/>
  <c r="G503" i="21"/>
  <c r="G507" i="21"/>
  <c r="G511" i="21"/>
  <c r="G515" i="21"/>
  <c r="G519" i="21"/>
  <c r="G523" i="21"/>
  <c r="G527" i="21"/>
  <c r="G531" i="21"/>
  <c r="G535" i="21"/>
  <c r="G539" i="21"/>
  <c r="G543" i="21"/>
  <c r="G547" i="21"/>
  <c r="G551" i="21"/>
  <c r="G555" i="21"/>
  <c r="G559" i="21"/>
  <c r="H15" i="21"/>
  <c r="H47" i="21"/>
  <c r="H79" i="21"/>
  <c r="H111" i="21"/>
  <c r="H143" i="21"/>
  <c r="H175" i="21"/>
  <c r="H207" i="21"/>
  <c r="H237" i="21"/>
  <c r="H246" i="21"/>
  <c r="H252" i="21"/>
  <c r="G258" i="21"/>
  <c r="G263" i="21"/>
  <c r="H268" i="21"/>
  <c r="G274" i="21"/>
  <c r="G279" i="21"/>
  <c r="H284" i="21"/>
  <c r="G289" i="21"/>
  <c r="H293" i="21"/>
  <c r="G298" i="21"/>
  <c r="H302" i="21"/>
  <c r="G307" i="21"/>
  <c r="H311" i="21"/>
  <c r="H316" i="21"/>
  <c r="G321" i="21"/>
  <c r="H325" i="21"/>
  <c r="G330" i="21"/>
  <c r="H334" i="21"/>
  <c r="G339" i="21"/>
  <c r="H343" i="21"/>
  <c r="H347" i="21"/>
  <c r="H351" i="21"/>
  <c r="H355" i="21"/>
  <c r="H359" i="21"/>
  <c r="H363" i="21"/>
  <c r="H367" i="21"/>
  <c r="H371" i="21"/>
  <c r="H375" i="21"/>
  <c r="H379" i="21"/>
  <c r="H383" i="21"/>
  <c r="H387" i="21"/>
  <c r="H391" i="21"/>
  <c r="H395" i="21"/>
  <c r="H399" i="21"/>
  <c r="H403" i="21"/>
  <c r="H407" i="21"/>
  <c r="H411" i="21"/>
  <c r="H415" i="21"/>
  <c r="H419" i="21"/>
  <c r="H423" i="21"/>
  <c r="H427" i="21"/>
  <c r="H431" i="21"/>
  <c r="H435" i="21"/>
  <c r="H439" i="21"/>
  <c r="H443" i="21"/>
  <c r="H447" i="21"/>
  <c r="H451" i="21"/>
  <c r="H455" i="21"/>
  <c r="H459" i="21"/>
  <c r="H463" i="21"/>
  <c r="H467" i="21"/>
  <c r="H471" i="21"/>
  <c r="H475" i="21"/>
  <c r="H479" i="21"/>
  <c r="H483" i="21"/>
  <c r="H487" i="21"/>
  <c r="H491" i="21"/>
  <c r="H495" i="21"/>
  <c r="H499" i="21"/>
  <c r="H503" i="21"/>
  <c r="H507" i="21"/>
  <c r="H511" i="21"/>
  <c r="H515" i="21"/>
  <c r="H519" i="21"/>
  <c r="H523" i="21"/>
  <c r="H527" i="21"/>
  <c r="H531" i="21"/>
  <c r="H535" i="21"/>
  <c r="H539" i="21"/>
  <c r="H543" i="21"/>
  <c r="H547" i="21"/>
  <c r="H551" i="21"/>
  <c r="H555" i="21"/>
  <c r="H559" i="21"/>
  <c r="H19" i="21"/>
  <c r="H51" i="21"/>
  <c r="H83" i="21"/>
  <c r="H115" i="21"/>
  <c r="H147" i="21"/>
  <c r="H179" i="21"/>
  <c r="H211" i="21"/>
  <c r="H239" i="21"/>
  <c r="H247" i="21"/>
  <c r="H253" i="21"/>
  <c r="H258" i="21"/>
  <c r="H263" i="21"/>
  <c r="H269" i="21"/>
  <c r="H274" i="21"/>
  <c r="H279" i="21"/>
  <c r="G285" i="21"/>
  <c r="H289" i="21"/>
  <c r="G294" i="21"/>
  <c r="H298" i="21"/>
  <c r="G303" i="21"/>
  <c r="H307" i="21"/>
  <c r="H312" i="21"/>
  <c r="G317" i="21"/>
  <c r="H321" i="21"/>
  <c r="G326" i="21"/>
  <c r="H330" i="21"/>
  <c r="G335" i="21"/>
  <c r="H339" i="21"/>
  <c r="G344" i="21"/>
  <c r="G348" i="21"/>
  <c r="G352" i="21"/>
  <c r="G356" i="21"/>
  <c r="G360" i="21"/>
  <c r="G364" i="21"/>
  <c r="G368" i="21"/>
  <c r="G372" i="21"/>
  <c r="G376" i="21"/>
  <c r="G380" i="21"/>
  <c r="G384" i="21"/>
  <c r="G388" i="21"/>
  <c r="G392" i="21"/>
  <c r="G396" i="21"/>
  <c r="G400" i="21"/>
  <c r="G404" i="21"/>
  <c r="G408" i="21"/>
  <c r="G412" i="21"/>
  <c r="G416" i="21"/>
  <c r="G420" i="21"/>
  <c r="G424" i="21"/>
  <c r="G428" i="21"/>
  <c r="G432" i="21"/>
  <c r="G436" i="21"/>
  <c r="G440" i="21"/>
  <c r="G444" i="21"/>
  <c r="G448" i="21"/>
  <c r="G452" i="21"/>
  <c r="G456" i="21"/>
  <c r="G460" i="21"/>
  <c r="G464" i="21"/>
  <c r="G468" i="21"/>
  <c r="G472" i="21"/>
  <c r="G476" i="21"/>
  <c r="G480" i="21"/>
  <c r="G484" i="21"/>
  <c r="G488" i="21"/>
  <c r="G492" i="21"/>
  <c r="G496" i="21"/>
  <c r="G500" i="21"/>
  <c r="G504" i="21"/>
  <c r="G508" i="21"/>
  <c r="G512" i="21"/>
  <c r="G516" i="21"/>
  <c r="G520" i="21"/>
  <c r="G524" i="21"/>
  <c r="G528" i="21"/>
  <c r="G532" i="21"/>
  <c r="G536" i="21"/>
  <c r="G540" i="21"/>
  <c r="G544" i="21"/>
  <c r="G548" i="21"/>
  <c r="G552" i="21"/>
  <c r="H23" i="21"/>
  <c r="H55" i="21"/>
  <c r="H87" i="21"/>
  <c r="H119" i="21"/>
  <c r="H151" i="21"/>
  <c r="H183" i="21"/>
  <c r="H215" i="21"/>
  <c r="H240" i="21"/>
  <c r="H248" i="21"/>
  <c r="G254" i="21"/>
  <c r="G259" i="21"/>
  <c r="H264" i="21"/>
  <c r="G270" i="21"/>
  <c r="G275" i="21"/>
  <c r="H280" i="21"/>
  <c r="H285" i="21"/>
  <c r="G290" i="21"/>
  <c r="H294" i="21"/>
  <c r="G299" i="21"/>
  <c r="H303" i="21"/>
  <c r="H308" i="21"/>
  <c r="G313" i="21"/>
  <c r="H317" i="21"/>
  <c r="G322" i="21"/>
  <c r="H326" i="21"/>
  <c r="G331" i="21"/>
  <c r="H335" i="21"/>
  <c r="H340" i="21"/>
  <c r="H344" i="21"/>
  <c r="H348" i="21"/>
  <c r="H352" i="21"/>
  <c r="H356" i="21"/>
  <c r="H360" i="21"/>
  <c r="H364" i="21"/>
  <c r="H368" i="21"/>
  <c r="H372" i="21"/>
  <c r="H376" i="21"/>
  <c r="H380" i="21"/>
  <c r="H384" i="21"/>
  <c r="H388" i="21"/>
  <c r="H392" i="21"/>
  <c r="H396" i="21"/>
  <c r="H400" i="21"/>
  <c r="H404" i="21"/>
  <c r="H408" i="21"/>
  <c r="H412" i="21"/>
  <c r="H416" i="21"/>
  <c r="H420" i="21"/>
  <c r="H424" i="21"/>
  <c r="H428" i="21"/>
  <c r="H432" i="21"/>
  <c r="H436" i="21"/>
  <c r="H440" i="21"/>
  <c r="H444" i="21"/>
  <c r="H448" i="21"/>
  <c r="H452" i="21"/>
  <c r="H456" i="21"/>
  <c r="H460" i="21"/>
  <c r="H464" i="21"/>
  <c r="H468" i="21"/>
  <c r="H472" i="21"/>
  <c r="H476" i="21"/>
  <c r="H480" i="21"/>
  <c r="H484" i="21"/>
  <c r="H488" i="21"/>
  <c r="H492" i="21"/>
  <c r="H496" i="21"/>
  <c r="H500" i="21"/>
  <c r="H504" i="21"/>
  <c r="H508" i="21"/>
  <c r="H512" i="21"/>
  <c r="H516" i="21"/>
  <c r="H520" i="21"/>
  <c r="H524" i="21"/>
  <c r="H528" i="21"/>
  <c r="H532" i="21"/>
  <c r="H536" i="21"/>
  <c r="H540" i="21"/>
  <c r="H544" i="21"/>
  <c r="H548" i="21"/>
  <c r="H552" i="21"/>
  <c r="H556" i="21"/>
  <c r="H560" i="21"/>
  <c r="H564" i="21"/>
  <c r="H568" i="21"/>
  <c r="H27" i="21"/>
  <c r="H59" i="21"/>
  <c r="H91" i="21"/>
  <c r="H123" i="21"/>
  <c r="H155" i="21"/>
  <c r="H187" i="21"/>
  <c r="H219" i="21"/>
  <c r="H241" i="21"/>
  <c r="H249" i="21"/>
  <c r="H254" i="21"/>
  <c r="H259" i="21"/>
  <c r="H265" i="21"/>
  <c r="H270" i="21"/>
  <c r="H275" i="21"/>
  <c r="H281" i="21"/>
  <c r="G286" i="21"/>
  <c r="H290" i="21"/>
  <c r="G295" i="21"/>
  <c r="H299" i="21"/>
  <c r="H304" i="21"/>
  <c r="G309" i="21"/>
  <c r="H313" i="21"/>
  <c r="G318" i="21"/>
  <c r="H322" i="21"/>
  <c r="G327" i="21"/>
  <c r="H331" i="21"/>
  <c r="H336" i="21"/>
  <c r="G341" i="21"/>
  <c r="G345" i="21"/>
  <c r="G349" i="21"/>
  <c r="G353" i="21"/>
  <c r="G357" i="21"/>
  <c r="G361" i="21"/>
  <c r="G365" i="21"/>
  <c r="G369" i="21"/>
  <c r="G373" i="21"/>
  <c r="G377" i="21"/>
  <c r="G381" i="21"/>
  <c r="G385" i="21"/>
  <c r="G389" i="21"/>
  <c r="G393" i="21"/>
  <c r="G397" i="21"/>
  <c r="G401" i="21"/>
  <c r="G405" i="21"/>
  <c r="G409" i="21"/>
  <c r="G413" i="21"/>
  <c r="G417" i="21"/>
  <c r="G421" i="21"/>
  <c r="G425" i="21"/>
  <c r="G429" i="21"/>
  <c r="G433" i="21"/>
  <c r="G437" i="21"/>
  <c r="G441" i="21"/>
  <c r="G445" i="21"/>
  <c r="G449" i="21"/>
  <c r="G453" i="21"/>
  <c r="G457" i="21"/>
  <c r="G461" i="21"/>
  <c r="G465" i="21"/>
  <c r="G469" i="21"/>
  <c r="G473" i="21"/>
  <c r="G477" i="21"/>
  <c r="G481" i="21"/>
  <c r="G485" i="21"/>
  <c r="G489" i="21"/>
  <c r="G493" i="21"/>
  <c r="G497" i="21"/>
  <c r="G501" i="21"/>
  <c r="G505" i="21"/>
  <c r="G509" i="21"/>
  <c r="G513" i="21"/>
  <c r="G517" i="21"/>
  <c r="G521" i="21"/>
  <c r="G525" i="21"/>
  <c r="G529" i="21"/>
  <c r="G533" i="21"/>
  <c r="G537" i="21"/>
  <c r="G541" i="21"/>
  <c r="G545" i="21"/>
  <c r="G549" i="21"/>
  <c r="G553" i="21"/>
  <c r="G557" i="21"/>
  <c r="G561" i="21"/>
  <c r="G565" i="21"/>
  <c r="H31" i="21"/>
  <c r="H63" i="21"/>
  <c r="H95" i="21"/>
  <c r="H127" i="21"/>
  <c r="H159" i="21"/>
  <c r="H191" i="21"/>
  <c r="H223" i="21"/>
  <c r="H242" i="21"/>
  <c r="G250" i="21"/>
  <c r="G255" i="21"/>
  <c r="H260" i="21"/>
  <c r="G266" i="21"/>
  <c r="G271" i="21"/>
  <c r="H276" i="21"/>
  <c r="G282" i="21"/>
  <c r="H286" i="21"/>
  <c r="G291" i="21"/>
  <c r="H295" i="21"/>
  <c r="H300" i="21"/>
  <c r="G305" i="21"/>
  <c r="H309" i="21"/>
  <c r="G314" i="21"/>
  <c r="H318" i="21"/>
  <c r="G323" i="21"/>
  <c r="H327" i="21"/>
  <c r="H332" i="21"/>
  <c r="G337" i="21"/>
  <c r="H341" i="21"/>
  <c r="H345" i="21"/>
  <c r="H349" i="21"/>
  <c r="H353" i="21"/>
  <c r="H357" i="21"/>
  <c r="H361" i="21"/>
  <c r="H365" i="21"/>
  <c r="H369" i="21"/>
  <c r="H373" i="21"/>
  <c r="H377" i="21"/>
  <c r="H381" i="21"/>
  <c r="H385" i="21"/>
  <c r="H389" i="21"/>
  <c r="H393" i="21"/>
  <c r="H397" i="21"/>
  <c r="H401" i="21"/>
  <c r="H405" i="21"/>
  <c r="H409" i="21"/>
  <c r="H413" i="21"/>
  <c r="H417" i="21"/>
  <c r="H421" i="21"/>
  <c r="H425" i="21"/>
  <c r="H429" i="21"/>
  <c r="H433" i="21"/>
  <c r="H437" i="21"/>
  <c r="H441" i="21"/>
  <c r="H445" i="21"/>
  <c r="H449" i="21"/>
  <c r="H453" i="21"/>
  <c r="H457" i="21"/>
  <c r="H461" i="21"/>
  <c r="H465" i="21"/>
  <c r="H469" i="21"/>
  <c r="H473" i="21"/>
  <c r="H477" i="21"/>
  <c r="H481" i="21"/>
  <c r="H485" i="21"/>
  <c r="H489" i="21"/>
  <c r="H493" i="21"/>
  <c r="H497" i="21"/>
  <c r="H501" i="21"/>
  <c r="H505" i="21"/>
  <c r="H509" i="21"/>
  <c r="H513" i="21"/>
  <c r="H517" i="21"/>
  <c r="H521" i="21"/>
  <c r="H525" i="21"/>
  <c r="H529" i="21"/>
  <c r="H533" i="21"/>
  <c r="H537" i="21"/>
  <c r="H541" i="21"/>
  <c r="H545" i="21"/>
  <c r="H549" i="21"/>
  <c r="H553" i="21"/>
  <c r="H557" i="21"/>
  <c r="H561" i="21"/>
  <c r="H565" i="21"/>
  <c r="H569" i="21"/>
  <c r="H35" i="21"/>
  <c r="H250" i="21"/>
  <c r="H291" i="21"/>
  <c r="H328" i="21"/>
  <c r="G362" i="21"/>
  <c r="G394" i="21"/>
  <c r="G426" i="21"/>
  <c r="G458" i="21"/>
  <c r="G490" i="21"/>
  <c r="G522" i="21"/>
  <c r="G554" i="21"/>
  <c r="G566" i="21"/>
  <c r="G572" i="21"/>
  <c r="H576" i="21"/>
  <c r="G581" i="21"/>
  <c r="H585" i="21"/>
  <c r="G590" i="21"/>
  <c r="G595" i="21"/>
  <c r="H599" i="21"/>
  <c r="G604" i="21"/>
  <c r="H608" i="21"/>
  <c r="G613" i="21"/>
  <c r="H617" i="21"/>
  <c r="G622" i="21"/>
  <c r="G627" i="21"/>
  <c r="H631" i="21"/>
  <c r="G636" i="21"/>
  <c r="H640" i="21"/>
  <c r="G645" i="21"/>
  <c r="H649" i="21"/>
  <c r="G654" i="21"/>
  <c r="G659" i="21"/>
  <c r="H663" i="21"/>
  <c r="G668" i="21"/>
  <c r="H672" i="21"/>
  <c r="G677" i="21"/>
  <c r="H681" i="21"/>
  <c r="G686" i="21"/>
  <c r="G691" i="21"/>
  <c r="H695" i="21"/>
  <c r="G700" i="21"/>
  <c r="G704" i="21"/>
  <c r="G708" i="21"/>
  <c r="G712" i="21"/>
  <c r="G716" i="21"/>
  <c r="G720" i="21"/>
  <c r="G724" i="21"/>
  <c r="G728" i="21"/>
  <c r="G732" i="21"/>
  <c r="G736" i="21"/>
  <c r="G740" i="21"/>
  <c r="G744" i="21"/>
  <c r="G748" i="21"/>
  <c r="G752" i="21"/>
  <c r="G756" i="21"/>
  <c r="G760" i="21"/>
  <c r="G764" i="21"/>
  <c r="G768" i="21"/>
  <c r="G772" i="21"/>
  <c r="G776" i="21"/>
  <c r="G780" i="21"/>
  <c r="G784" i="21"/>
  <c r="G788" i="21"/>
  <c r="G792" i="21"/>
  <c r="G796" i="21"/>
  <c r="G800" i="21"/>
  <c r="G804" i="21"/>
  <c r="G808" i="21"/>
  <c r="G812" i="21"/>
  <c r="G816" i="21"/>
  <c r="G820" i="21"/>
  <c r="G824" i="21"/>
  <c r="G828" i="21"/>
  <c r="G832" i="21"/>
  <c r="G836" i="21"/>
  <c r="G840" i="21"/>
  <c r="G844" i="21"/>
  <c r="G848" i="21"/>
  <c r="G852" i="21"/>
  <c r="G856" i="21"/>
  <c r="G860" i="21"/>
  <c r="G864" i="21"/>
  <c r="G868" i="21"/>
  <c r="G872" i="21"/>
  <c r="G876" i="21"/>
  <c r="G880" i="21"/>
  <c r="G884" i="21"/>
  <c r="G888" i="21"/>
  <c r="G892" i="21"/>
  <c r="G896" i="21"/>
  <c r="G900" i="21"/>
  <c r="G904" i="21"/>
  <c r="G908" i="21"/>
  <c r="G912" i="21"/>
  <c r="G916" i="21"/>
  <c r="G920" i="21"/>
  <c r="G924" i="21"/>
  <c r="G928" i="21"/>
  <c r="H67" i="21"/>
  <c r="H255" i="21"/>
  <c r="H296" i="21"/>
  <c r="G333" i="21"/>
  <c r="G366" i="21"/>
  <c r="G398" i="21"/>
  <c r="G430" i="21"/>
  <c r="G462" i="21"/>
  <c r="G494" i="21"/>
  <c r="G526" i="21"/>
  <c r="G556" i="21"/>
  <c r="G567" i="21"/>
  <c r="H572" i="21"/>
  <c r="G577" i="21"/>
  <c r="H581" i="21"/>
  <c r="G586" i="21"/>
  <c r="G591" i="21"/>
  <c r="H595" i="21"/>
  <c r="G600" i="21"/>
  <c r="H604" i="21"/>
  <c r="G609" i="21"/>
  <c r="H613" i="21"/>
  <c r="G618" i="21"/>
  <c r="G623" i="21"/>
  <c r="H627" i="21"/>
  <c r="G632" i="21"/>
  <c r="H636" i="21"/>
  <c r="G641" i="21"/>
  <c r="H645" i="21"/>
  <c r="G650" i="21"/>
  <c r="G655" i="21"/>
  <c r="H659" i="21"/>
  <c r="G664" i="21"/>
  <c r="H668" i="21"/>
  <c r="G673" i="21"/>
  <c r="H677" i="21"/>
  <c r="G682" i="21"/>
  <c r="G687" i="21"/>
  <c r="H691" i="21"/>
  <c r="G696" i="21"/>
  <c r="H700" i="21"/>
  <c r="H704" i="21"/>
  <c r="H708" i="21"/>
  <c r="H712" i="21"/>
  <c r="H716" i="21"/>
  <c r="H720" i="21"/>
  <c r="H724" i="21"/>
  <c r="H728" i="21"/>
  <c r="H732" i="21"/>
  <c r="H736" i="21"/>
  <c r="H740" i="21"/>
  <c r="H744" i="21"/>
  <c r="H748" i="21"/>
  <c r="H752" i="21"/>
  <c r="H756" i="21"/>
  <c r="H760" i="21"/>
  <c r="H764" i="21"/>
  <c r="H768" i="21"/>
  <c r="H772" i="21"/>
  <c r="H776" i="21"/>
  <c r="H780" i="21"/>
  <c r="H784" i="21"/>
  <c r="H788" i="21"/>
  <c r="H792" i="21"/>
  <c r="H796" i="21"/>
  <c r="H800" i="21"/>
  <c r="H804" i="21"/>
  <c r="H808" i="21"/>
  <c r="H812" i="21"/>
  <c r="H99" i="21"/>
  <c r="H261" i="21"/>
  <c r="G301" i="21"/>
  <c r="H337" i="21"/>
  <c r="G370" i="21"/>
  <c r="G402" i="21"/>
  <c r="G434" i="21"/>
  <c r="G466" i="21"/>
  <c r="G498" i="21"/>
  <c r="G530" i="21"/>
  <c r="G558" i="21"/>
  <c r="H567" i="21"/>
  <c r="G573" i="21"/>
  <c r="H577" i="21"/>
  <c r="G582" i="21"/>
  <c r="G587" i="21"/>
  <c r="H591" i="21"/>
  <c r="G596" i="21"/>
  <c r="H600" i="21"/>
  <c r="G605" i="21"/>
  <c r="H609" i="21"/>
  <c r="G614" i="21"/>
  <c r="G619" i="21"/>
  <c r="H623" i="21"/>
  <c r="G628" i="21"/>
  <c r="H632" i="21"/>
  <c r="G637" i="21"/>
  <c r="H641" i="21"/>
  <c r="G646" i="21"/>
  <c r="G651" i="21"/>
  <c r="H655" i="21"/>
  <c r="G660" i="21"/>
  <c r="H664" i="21"/>
  <c r="G669" i="21"/>
  <c r="H673" i="21"/>
  <c r="G678" i="21"/>
  <c r="G683" i="21"/>
  <c r="H687" i="21"/>
  <c r="G692" i="21"/>
  <c r="H696" i="21"/>
  <c r="G701" i="21"/>
  <c r="G705" i="21"/>
  <c r="G709" i="21"/>
  <c r="G713" i="21"/>
  <c r="G717" i="21"/>
  <c r="G721" i="21"/>
  <c r="G725" i="21"/>
  <c r="G729" i="21"/>
  <c r="G733" i="21"/>
  <c r="G737" i="21"/>
  <c r="G741" i="21"/>
  <c r="G745" i="21"/>
  <c r="G749" i="21"/>
  <c r="G753" i="21"/>
  <c r="G757" i="21"/>
  <c r="G761" i="21"/>
  <c r="G765" i="21"/>
  <c r="G769" i="21"/>
  <c r="G773" i="21"/>
  <c r="G777" i="21"/>
  <c r="G781" i="21"/>
  <c r="G785" i="21"/>
  <c r="G789" i="21"/>
  <c r="G793" i="21"/>
  <c r="G797" i="21"/>
  <c r="G801" i="21"/>
  <c r="G805" i="21"/>
  <c r="G809" i="21"/>
  <c r="G813" i="21"/>
  <c r="G817" i="21"/>
  <c r="G821" i="21"/>
  <c r="G825" i="21"/>
  <c r="G829" i="21"/>
  <c r="G833" i="21"/>
  <c r="G837" i="21"/>
  <c r="G841" i="21"/>
  <c r="G845" i="21"/>
  <c r="G849" i="21"/>
  <c r="G853" i="21"/>
  <c r="G857" i="21"/>
  <c r="G861" i="21"/>
  <c r="G865" i="21"/>
  <c r="G869" i="21"/>
  <c r="G873" i="21"/>
  <c r="G877" i="21"/>
  <c r="H131" i="21"/>
  <c r="H266" i="21"/>
  <c r="H305" i="21"/>
  <c r="G342" i="21"/>
  <c r="G374" i="21"/>
  <c r="G406" i="21"/>
  <c r="G438" i="21"/>
  <c r="G470" i="21"/>
  <c r="G502" i="21"/>
  <c r="G534" i="21"/>
  <c r="G560" i="21"/>
  <c r="G568" i="21"/>
  <c r="H573" i="21"/>
  <c r="G578" i="21"/>
  <c r="G583" i="21"/>
  <c r="H587" i="21"/>
  <c r="G592" i="21"/>
  <c r="H596" i="21"/>
  <c r="G601" i="21"/>
  <c r="H605" i="21"/>
  <c r="G610" i="21"/>
  <c r="G615" i="21"/>
  <c r="H619" i="21"/>
  <c r="G624" i="21"/>
  <c r="H628" i="21"/>
  <c r="G633" i="21"/>
  <c r="H637" i="21"/>
  <c r="G642" i="21"/>
  <c r="G647" i="21"/>
  <c r="H651" i="21"/>
  <c r="G656" i="21"/>
  <c r="H660" i="21"/>
  <c r="G665" i="21"/>
  <c r="H669" i="21"/>
  <c r="G674" i="21"/>
  <c r="G679" i="21"/>
  <c r="H683" i="21"/>
  <c r="G688" i="21"/>
  <c r="H692" i="21"/>
  <c r="G697" i="21"/>
  <c r="H701" i="21"/>
  <c r="H705" i="21"/>
  <c r="H709" i="21"/>
  <c r="H713" i="21"/>
  <c r="H717" i="21"/>
  <c r="H721" i="21"/>
  <c r="H725" i="21"/>
  <c r="H729" i="21"/>
  <c r="H733" i="21"/>
  <c r="H737" i="21"/>
  <c r="H741" i="21"/>
  <c r="H745" i="21"/>
  <c r="H749" i="21"/>
  <c r="H753" i="21"/>
  <c r="H757" i="21"/>
  <c r="H761" i="21"/>
  <c r="H765" i="21"/>
  <c r="H769" i="21"/>
  <c r="H773" i="21"/>
  <c r="H777" i="21"/>
  <c r="H781" i="21"/>
  <c r="H785" i="21"/>
  <c r="H789" i="21"/>
  <c r="H793" i="21"/>
  <c r="H797" i="21"/>
  <c r="H801" i="21"/>
  <c r="H805" i="21"/>
  <c r="H809" i="21"/>
  <c r="H813" i="21"/>
  <c r="H817" i="21"/>
  <c r="H821" i="21"/>
  <c r="H825" i="21"/>
  <c r="H829" i="21"/>
  <c r="H833" i="21"/>
  <c r="H837" i="21"/>
  <c r="H841" i="21"/>
  <c r="H845" i="21"/>
  <c r="H163" i="21"/>
  <c r="H271" i="21"/>
  <c r="G310" i="21"/>
  <c r="G346" i="21"/>
  <c r="G378" i="21"/>
  <c r="G410" i="21"/>
  <c r="G442" i="21"/>
  <c r="G474" i="21"/>
  <c r="G506" i="21"/>
  <c r="G538" i="21"/>
  <c r="G562" i="21"/>
  <c r="G569" i="21"/>
  <c r="G574" i="21"/>
  <c r="G579" i="21"/>
  <c r="H583" i="21"/>
  <c r="G588" i="21"/>
  <c r="H592" i="21"/>
  <c r="G597" i="21"/>
  <c r="H601" i="21"/>
  <c r="G606" i="21"/>
  <c r="G611" i="21"/>
  <c r="H615" i="21"/>
  <c r="G620" i="21"/>
  <c r="H624" i="21"/>
  <c r="G629" i="21"/>
  <c r="H633" i="21"/>
  <c r="G638" i="21"/>
  <c r="G643" i="21"/>
  <c r="H647" i="21"/>
  <c r="G652" i="21"/>
  <c r="H656" i="21"/>
  <c r="G661" i="21"/>
  <c r="H665" i="21"/>
  <c r="G670" i="21"/>
  <c r="G675" i="21"/>
  <c r="H679" i="21"/>
  <c r="G684" i="21"/>
  <c r="H688" i="21"/>
  <c r="G693" i="21"/>
  <c r="H697" i="21"/>
  <c r="G702" i="21"/>
  <c r="G706" i="21"/>
  <c r="G710" i="21"/>
  <c r="G714" i="21"/>
  <c r="G718" i="21"/>
  <c r="G722" i="21"/>
  <c r="G726" i="21"/>
  <c r="G730" i="21"/>
  <c r="G734" i="21"/>
  <c r="G738" i="21"/>
  <c r="G742" i="21"/>
  <c r="G746" i="21"/>
  <c r="G750" i="21"/>
  <c r="G754" i="21"/>
  <c r="G758" i="21"/>
  <c r="G762" i="21"/>
  <c r="G766" i="21"/>
  <c r="G770" i="21"/>
  <c r="G774" i="21"/>
  <c r="G778" i="21"/>
  <c r="G782" i="21"/>
  <c r="G786" i="21"/>
  <c r="G790" i="21"/>
  <c r="G794" i="21"/>
  <c r="G798" i="21"/>
  <c r="G802" i="21"/>
  <c r="G806" i="21"/>
  <c r="G810" i="21"/>
  <c r="G814" i="21"/>
  <c r="H195" i="21"/>
  <c r="H277" i="21"/>
  <c r="H314" i="21"/>
  <c r="G350" i="21"/>
  <c r="G382" i="21"/>
  <c r="G414" i="21"/>
  <c r="G446" i="21"/>
  <c r="G478" i="21"/>
  <c r="G510" i="21"/>
  <c r="G542" i="21"/>
  <c r="G563" i="21"/>
  <c r="G570" i="21"/>
  <c r="G575" i="21"/>
  <c r="H579" i="21"/>
  <c r="G584" i="21"/>
  <c r="H588" i="21"/>
  <c r="G593" i="21"/>
  <c r="H597" i="21"/>
  <c r="G602" i="21"/>
  <c r="G607" i="21"/>
  <c r="H611" i="21"/>
  <c r="G616" i="21"/>
  <c r="H620" i="21"/>
  <c r="G625" i="21"/>
  <c r="H629" i="21"/>
  <c r="G634" i="21"/>
  <c r="G639" i="21"/>
  <c r="H643" i="21"/>
  <c r="G648" i="21"/>
  <c r="H652" i="21"/>
  <c r="G657" i="21"/>
  <c r="H661" i="21"/>
  <c r="G666" i="21"/>
  <c r="G671" i="21"/>
  <c r="H675" i="21"/>
  <c r="G680" i="21"/>
  <c r="H684" i="21"/>
  <c r="G689" i="21"/>
  <c r="H693" i="21"/>
  <c r="G698" i="21"/>
  <c r="H702" i="21"/>
  <c r="H706" i="21"/>
  <c r="H710" i="21"/>
  <c r="H714" i="21"/>
  <c r="H718" i="21"/>
  <c r="H722" i="21"/>
  <c r="H726" i="21"/>
  <c r="H730" i="21"/>
  <c r="H734" i="21"/>
  <c r="H738" i="21"/>
  <c r="H742" i="21"/>
  <c r="H746" i="21"/>
  <c r="H750" i="21"/>
  <c r="H754" i="21"/>
  <c r="H758" i="21"/>
  <c r="H762" i="21"/>
  <c r="H766" i="21"/>
  <c r="H770" i="21"/>
  <c r="H774" i="21"/>
  <c r="H778" i="21"/>
  <c r="H782" i="21"/>
  <c r="H786" i="21"/>
  <c r="H790" i="21"/>
  <c r="H794" i="21"/>
  <c r="H798" i="21"/>
  <c r="H802" i="21"/>
  <c r="H806" i="21"/>
  <c r="H810" i="21"/>
  <c r="H814" i="21"/>
  <c r="H818" i="21"/>
  <c r="H822" i="21"/>
  <c r="H826" i="21"/>
  <c r="H830" i="21"/>
  <c r="H834" i="21"/>
  <c r="H838" i="21"/>
  <c r="H842" i="21"/>
  <c r="H227" i="21"/>
  <c r="H282" i="21"/>
  <c r="G319" i="21"/>
  <c r="G354" i="21"/>
  <c r="G386" i="21"/>
  <c r="G418" i="21"/>
  <c r="G450" i="21"/>
  <c r="G482" i="21"/>
  <c r="G514" i="21"/>
  <c r="G546" i="21"/>
  <c r="H563" i="21"/>
  <c r="G571" i="21"/>
  <c r="H575" i="21"/>
  <c r="G580" i="21"/>
  <c r="H584" i="21"/>
  <c r="G589" i="21"/>
  <c r="H593" i="21"/>
  <c r="G598" i="21"/>
  <c r="G603" i="21"/>
  <c r="H607" i="21"/>
  <c r="G612" i="21"/>
  <c r="H616" i="21"/>
  <c r="G621" i="21"/>
  <c r="H625" i="21"/>
  <c r="G630" i="21"/>
  <c r="G635" i="21"/>
  <c r="H639" i="21"/>
  <c r="G644" i="21"/>
  <c r="H648" i="21"/>
  <c r="G653" i="21"/>
  <c r="H657" i="21"/>
  <c r="G662" i="21"/>
  <c r="G667" i="21"/>
  <c r="H671" i="21"/>
  <c r="G676" i="21"/>
  <c r="H680" i="21"/>
  <c r="G685" i="21"/>
  <c r="H689" i="21"/>
  <c r="G694" i="21"/>
  <c r="G699" i="21"/>
  <c r="G703" i="21"/>
  <c r="G707" i="21"/>
  <c r="G711" i="21"/>
  <c r="G715" i="21"/>
  <c r="G719" i="21"/>
  <c r="G723" i="21"/>
  <c r="G727" i="21"/>
  <c r="G731" i="21"/>
  <c r="G735" i="21"/>
  <c r="G739" i="21"/>
  <c r="G743" i="21"/>
  <c r="G747" i="21"/>
  <c r="G751" i="21"/>
  <c r="G755" i="21"/>
  <c r="G759" i="21"/>
  <c r="G763" i="21"/>
  <c r="G767" i="21"/>
  <c r="G771" i="21"/>
  <c r="G775" i="21"/>
  <c r="G779" i="21"/>
  <c r="G783" i="21"/>
  <c r="G787" i="21"/>
  <c r="G791" i="21"/>
  <c r="G795" i="21"/>
  <c r="G799" i="21"/>
  <c r="G803" i="21"/>
  <c r="G807" i="21"/>
  <c r="G811" i="21"/>
  <c r="G815" i="21"/>
  <c r="G819" i="21"/>
  <c r="G823" i="21"/>
  <c r="G827" i="21"/>
  <c r="G831" i="21"/>
  <c r="G835" i="21"/>
  <c r="G839" i="21"/>
  <c r="G843" i="21"/>
  <c r="G847" i="21"/>
  <c r="H243" i="21"/>
  <c r="G518" i="21"/>
  <c r="G594" i="21"/>
  <c r="G631" i="21"/>
  <c r="H667" i="21"/>
  <c r="H703" i="21"/>
  <c r="H735" i="21"/>
  <c r="H767" i="21"/>
  <c r="H799" i="21"/>
  <c r="H820" i="21"/>
  <c r="H831" i="21"/>
  <c r="G842" i="21"/>
  <c r="G850" i="21"/>
  <c r="G855" i="21"/>
  <c r="H860" i="21"/>
  <c r="G866" i="21"/>
  <c r="G871" i="21"/>
  <c r="H876" i="21"/>
  <c r="H881" i="21"/>
  <c r="G886" i="21"/>
  <c r="H890" i="21"/>
  <c r="G895" i="21"/>
  <c r="H899" i="21"/>
  <c r="H904" i="21"/>
  <c r="G909" i="21"/>
  <c r="H913" i="21"/>
  <c r="G918" i="21"/>
  <c r="H922" i="21"/>
  <c r="G927" i="21"/>
  <c r="H931" i="21"/>
  <c r="H935" i="21"/>
  <c r="H939" i="21"/>
  <c r="H943" i="21"/>
  <c r="H947" i="21"/>
  <c r="H951" i="21"/>
  <c r="H955" i="21"/>
  <c r="H959" i="21"/>
  <c r="H963" i="21"/>
  <c r="H967" i="21"/>
  <c r="H971" i="21"/>
  <c r="H975" i="21"/>
  <c r="H979" i="21"/>
  <c r="H983" i="21"/>
  <c r="H987" i="21"/>
  <c r="H991" i="21"/>
  <c r="H995" i="21"/>
  <c r="H999" i="21"/>
  <c r="G936" i="21"/>
  <c r="G948" i="21"/>
  <c r="G956" i="21"/>
  <c r="G964" i="21"/>
  <c r="G972" i="21"/>
  <c r="G980" i="21"/>
  <c r="G988" i="21"/>
  <c r="G996" i="21"/>
  <c r="H984" i="21"/>
  <c r="H1000" i="21"/>
  <c r="G1001" i="21"/>
  <c r="H699" i="21"/>
  <c r="H795" i="21"/>
  <c r="H865" i="21"/>
  <c r="G899" i="21"/>
  <c r="G935" i="21"/>
  <c r="G951" i="21"/>
  <c r="G979" i="21"/>
  <c r="G287" i="21"/>
  <c r="G550" i="21"/>
  <c r="G599" i="21"/>
  <c r="H635" i="21"/>
  <c r="G672" i="21"/>
  <c r="H707" i="21"/>
  <c r="H739" i="21"/>
  <c r="H771" i="21"/>
  <c r="H803" i="21"/>
  <c r="G822" i="21"/>
  <c r="H832" i="21"/>
  <c r="H843" i="21"/>
  <c r="H850" i="21"/>
  <c r="H855" i="21"/>
  <c r="H861" i="21"/>
  <c r="H866" i="21"/>
  <c r="H871" i="21"/>
  <c r="H877" i="21"/>
  <c r="G882" i="21"/>
  <c r="H886" i="21"/>
  <c r="G891" i="21"/>
  <c r="H895" i="21"/>
  <c r="H900" i="21"/>
  <c r="G905" i="21"/>
  <c r="H909" i="21"/>
  <c r="G914" i="21"/>
  <c r="H918" i="21"/>
  <c r="G923" i="21"/>
  <c r="H927" i="21"/>
  <c r="G932" i="21"/>
  <c r="G940" i="21"/>
  <c r="G944" i="21"/>
  <c r="G952" i="21"/>
  <c r="G960" i="21"/>
  <c r="G968" i="21"/>
  <c r="G976" i="21"/>
  <c r="G984" i="21"/>
  <c r="G992" i="21"/>
  <c r="G1000" i="21"/>
  <c r="H992" i="21"/>
  <c r="G993" i="21"/>
  <c r="G626" i="21"/>
  <c r="H854" i="21"/>
  <c r="H894" i="21"/>
  <c r="H926" i="21"/>
  <c r="G963" i="21"/>
  <c r="G991" i="21"/>
  <c r="H323" i="21"/>
  <c r="G564" i="21"/>
  <c r="H603" i="21"/>
  <c r="G640" i="21"/>
  <c r="H676" i="21"/>
  <c r="H711" i="21"/>
  <c r="H743" i="21"/>
  <c r="H775" i="21"/>
  <c r="H807" i="21"/>
  <c r="H823" i="21"/>
  <c r="G834" i="21"/>
  <c r="H844" i="21"/>
  <c r="G851" i="21"/>
  <c r="H856" i="21"/>
  <c r="G862" i="21"/>
  <c r="G867" i="21"/>
  <c r="H872" i="21"/>
  <c r="G878" i="21"/>
  <c r="H882" i="21"/>
  <c r="G887" i="21"/>
  <c r="H891" i="21"/>
  <c r="H896" i="21"/>
  <c r="G901" i="21"/>
  <c r="H905" i="21"/>
  <c r="G910" i="21"/>
  <c r="H914" i="21"/>
  <c r="G919" i="21"/>
  <c r="H923" i="21"/>
  <c r="H928" i="21"/>
  <c r="H932" i="21"/>
  <c r="H936" i="21"/>
  <c r="H940" i="21"/>
  <c r="H944" i="21"/>
  <c r="H948" i="21"/>
  <c r="H952" i="21"/>
  <c r="H956" i="21"/>
  <c r="H960" i="21"/>
  <c r="H964" i="21"/>
  <c r="H968" i="21"/>
  <c r="H972" i="21"/>
  <c r="H976" i="21"/>
  <c r="H980" i="21"/>
  <c r="H988" i="21"/>
  <c r="H996" i="21"/>
  <c r="G997" i="21"/>
  <c r="H589" i="21"/>
  <c r="H859" i="21"/>
  <c r="G890" i="21"/>
  <c r="G922" i="21"/>
  <c r="G959" i="21"/>
  <c r="G987" i="21"/>
  <c r="G358" i="21"/>
  <c r="H571" i="21"/>
  <c r="G608" i="21"/>
  <c r="H644" i="21"/>
  <c r="G681" i="21"/>
  <c r="H715" i="21"/>
  <c r="H747" i="21"/>
  <c r="H779" i="21"/>
  <c r="H811" i="21"/>
  <c r="H824" i="21"/>
  <c r="H835" i="21"/>
  <c r="G846" i="21"/>
  <c r="H851" i="21"/>
  <c r="H857" i="21"/>
  <c r="H862" i="21"/>
  <c r="H867" i="21"/>
  <c r="H873" i="21"/>
  <c r="H878" i="21"/>
  <c r="G883" i="21"/>
  <c r="H887" i="21"/>
  <c r="H892" i="21"/>
  <c r="G897" i="21"/>
  <c r="H901" i="21"/>
  <c r="G906" i="21"/>
  <c r="H910" i="21"/>
  <c r="G915" i="21"/>
  <c r="H919" i="21"/>
  <c r="H924" i="21"/>
  <c r="G929" i="21"/>
  <c r="G933" i="21"/>
  <c r="G937" i="21"/>
  <c r="G941" i="21"/>
  <c r="G945" i="21"/>
  <c r="G949" i="21"/>
  <c r="G953" i="21"/>
  <c r="G957" i="21"/>
  <c r="G961" i="21"/>
  <c r="G965" i="21"/>
  <c r="G969" i="21"/>
  <c r="G973" i="21"/>
  <c r="G977" i="21"/>
  <c r="G981" i="21"/>
  <c r="G985" i="21"/>
  <c r="G989" i="21"/>
  <c r="H763" i="21"/>
  <c r="H849" i="21"/>
  <c r="G881" i="21"/>
  <c r="G913" i="21"/>
  <c r="G943" i="21"/>
  <c r="G971" i="21"/>
  <c r="H3" i="21"/>
  <c r="G390" i="21"/>
  <c r="G576" i="21"/>
  <c r="H612" i="21"/>
  <c r="G649" i="21"/>
  <c r="H685" i="21"/>
  <c r="H719" i="21"/>
  <c r="H751" i="21"/>
  <c r="H783" i="21"/>
  <c r="H815" i="21"/>
  <c r="G826" i="21"/>
  <c r="H836" i="21"/>
  <c r="H846" i="21"/>
  <c r="H852" i="21"/>
  <c r="G858" i="21"/>
  <c r="G863" i="21"/>
  <c r="H868" i="21"/>
  <c r="G874" i="21"/>
  <c r="G879" i="21"/>
  <c r="H883" i="21"/>
  <c r="H888" i="21"/>
  <c r="G893" i="21"/>
  <c r="H897" i="21"/>
  <c r="G902" i="21"/>
  <c r="H906" i="21"/>
  <c r="G911" i="21"/>
  <c r="H915" i="21"/>
  <c r="H920" i="21"/>
  <c r="G925" i="21"/>
  <c r="H929" i="21"/>
  <c r="H933" i="21"/>
  <c r="H937" i="21"/>
  <c r="H941" i="21"/>
  <c r="H945" i="21"/>
  <c r="H949" i="21"/>
  <c r="H953" i="21"/>
  <c r="H957" i="21"/>
  <c r="H961" i="21"/>
  <c r="H965" i="21"/>
  <c r="H969" i="21"/>
  <c r="H973" i="21"/>
  <c r="H977" i="21"/>
  <c r="H981" i="21"/>
  <c r="H985" i="21"/>
  <c r="H989" i="21"/>
  <c r="H993" i="21"/>
  <c r="H997" i="21"/>
  <c r="H1001" i="21"/>
  <c r="G1002" i="21"/>
  <c r="G663" i="21"/>
  <c r="G830" i="21"/>
  <c r="H875" i="21"/>
  <c r="H908" i="21"/>
  <c r="G939" i="21"/>
  <c r="G967" i="21"/>
  <c r="G995" i="21"/>
  <c r="G422" i="21"/>
  <c r="H580" i="21"/>
  <c r="G617" i="21"/>
  <c r="H653" i="21"/>
  <c r="G690" i="21"/>
  <c r="H723" i="21"/>
  <c r="H755" i="21"/>
  <c r="H787" i="21"/>
  <c r="H816" i="21"/>
  <c r="H827" i="21"/>
  <c r="G838" i="21"/>
  <c r="H847" i="21"/>
  <c r="H853" i="21"/>
  <c r="H858" i="21"/>
  <c r="H863" i="21"/>
  <c r="H869" i="21"/>
  <c r="H874" i="21"/>
  <c r="H879" i="21"/>
  <c r="H884" i="21"/>
  <c r="G889" i="21"/>
  <c r="H893" i="21"/>
  <c r="G898" i="21"/>
  <c r="H902" i="21"/>
  <c r="G907" i="21"/>
  <c r="H911" i="21"/>
  <c r="H916" i="21"/>
  <c r="G921" i="21"/>
  <c r="H925" i="21"/>
  <c r="G930" i="21"/>
  <c r="G934" i="21"/>
  <c r="G938" i="21"/>
  <c r="G942" i="21"/>
  <c r="G946" i="21"/>
  <c r="G950" i="21"/>
  <c r="G954" i="21"/>
  <c r="G958" i="21"/>
  <c r="G962" i="21"/>
  <c r="G966" i="21"/>
  <c r="G970" i="21"/>
  <c r="G974" i="21"/>
  <c r="G978" i="21"/>
  <c r="G982" i="21"/>
  <c r="G986" i="21"/>
  <c r="G990" i="21"/>
  <c r="G994" i="21"/>
  <c r="G998" i="21"/>
  <c r="H731" i="21"/>
  <c r="H819" i="21"/>
  <c r="H870" i="21"/>
  <c r="H903" i="21"/>
  <c r="G931" i="21"/>
  <c r="G955" i="21"/>
  <c r="G983" i="21"/>
  <c r="G454" i="21"/>
  <c r="G585" i="21"/>
  <c r="H621" i="21"/>
  <c r="G658" i="21"/>
  <c r="G695" i="21"/>
  <c r="H727" i="21"/>
  <c r="H759" i="21"/>
  <c r="H791" i="21"/>
  <c r="G818" i="21"/>
  <c r="H828" i="21"/>
  <c r="H839" i="21"/>
  <c r="H848" i="21"/>
  <c r="G854" i="21"/>
  <c r="G859" i="21"/>
  <c r="H864" i="21"/>
  <c r="G870" i="21"/>
  <c r="G875" i="21"/>
  <c r="H880" i="21"/>
  <c r="G885" i="21"/>
  <c r="H889" i="21"/>
  <c r="G894" i="21"/>
  <c r="H898" i="21"/>
  <c r="G903" i="21"/>
  <c r="H907" i="21"/>
  <c r="H912" i="21"/>
  <c r="G917" i="21"/>
  <c r="H921" i="21"/>
  <c r="G926" i="21"/>
  <c r="H930" i="21"/>
  <c r="H934" i="21"/>
  <c r="H938" i="21"/>
  <c r="H942" i="21"/>
  <c r="H946" i="21"/>
  <c r="H950" i="21"/>
  <c r="H954" i="21"/>
  <c r="H958" i="21"/>
  <c r="H962" i="21"/>
  <c r="H966" i="21"/>
  <c r="H970" i="21"/>
  <c r="H974" i="21"/>
  <c r="H978" i="21"/>
  <c r="H982" i="21"/>
  <c r="H986" i="21"/>
  <c r="H990" i="21"/>
  <c r="H994" i="21"/>
  <c r="H998" i="21"/>
  <c r="H1002" i="21"/>
  <c r="G486" i="21"/>
  <c r="H840" i="21"/>
  <c r="H885" i="21"/>
  <c r="H917" i="21"/>
  <c r="G947" i="21"/>
  <c r="G975" i="21"/>
  <c r="G999" i="21"/>
  <c r="F2" i="10"/>
  <c r="E6" i="18" l="1"/>
  <c r="C8" i="14" l="1"/>
  <c r="C7" i="14"/>
  <c r="C6" i="14"/>
  <c r="C5" i="14"/>
  <c r="C4" i="14"/>
  <c r="A4" i="18" s="1"/>
  <c r="C3" i="14"/>
  <c r="A3" i="18" s="1"/>
  <c r="C2" i="14"/>
  <c r="A2" i="18" s="1"/>
  <c r="C10" i="14"/>
  <c r="C11" i="14"/>
  <c r="C12" i="14"/>
  <c r="C13" i="14"/>
  <c r="A13" i="18" s="1"/>
  <c r="C14" i="14"/>
  <c r="L2" i="10" l="1"/>
  <c r="K2" i="10"/>
  <c r="J2" i="10"/>
  <c r="I2" i="10"/>
  <c r="H2" i="10"/>
  <c r="G2" i="10"/>
  <c r="A14" i="18"/>
  <c r="N14" i="18" s="1"/>
  <c r="A12" i="18"/>
  <c r="A11" i="18"/>
  <c r="A10" i="18"/>
  <c r="M13" i="18" l="1"/>
  <c r="M1" i="18"/>
  <c r="J1" i="18"/>
  <c r="J10" i="18"/>
  <c r="K11" i="18"/>
  <c r="K1" i="18"/>
  <c r="L12" i="18"/>
  <c r="L1" i="18"/>
  <c r="J11" i="18"/>
  <c r="E7" i="18" l="1"/>
  <c r="F7" i="18"/>
  <c r="E8" i="18"/>
  <c r="F8" i="18"/>
  <c r="G8" i="18"/>
  <c r="E9" i="18"/>
  <c r="F9" i="18"/>
  <c r="G9" i="18"/>
  <c r="H9" i="18"/>
  <c r="B4" i="18"/>
  <c r="C4" i="18"/>
  <c r="B3" i="18"/>
  <c r="L14" i="18"/>
  <c r="K14" i="18"/>
  <c r="K13" i="18"/>
  <c r="J14" i="18"/>
  <c r="J13" i="18"/>
  <c r="J12" i="18"/>
  <c r="I14" i="18"/>
  <c r="I13" i="18"/>
  <c r="I12" i="18"/>
  <c r="I11" i="18"/>
  <c r="H14" i="18"/>
  <c r="H13" i="18"/>
  <c r="H12" i="18"/>
  <c r="H11" i="18"/>
  <c r="H10" i="18"/>
  <c r="G14" i="18"/>
  <c r="G13" i="18"/>
  <c r="G12" i="18"/>
  <c r="G11" i="18"/>
  <c r="F14" i="18"/>
  <c r="F13" i="18"/>
  <c r="F12" i="18"/>
  <c r="F11" i="18"/>
  <c r="F10" i="18"/>
  <c r="E14" i="18"/>
  <c r="E13" i="18"/>
  <c r="E12" i="18"/>
  <c r="E11" i="18"/>
  <c r="E10" i="18"/>
  <c r="M14" i="18"/>
  <c r="L13" i="18"/>
  <c r="K12" i="18"/>
  <c r="I10" i="18"/>
  <c r="G10" i="18"/>
  <c r="D5" i="18"/>
  <c r="D6" i="18"/>
  <c r="D7" i="18"/>
  <c r="D8" i="18"/>
  <c r="D9" i="18"/>
  <c r="D10" i="18"/>
  <c r="D11" i="18"/>
  <c r="D12" i="18"/>
  <c r="D13" i="18"/>
  <c r="D14" i="18"/>
  <c r="C14" i="18"/>
  <c r="C13" i="18"/>
  <c r="C12" i="18"/>
  <c r="C11" i="18"/>
  <c r="C10" i="18"/>
  <c r="C9" i="18"/>
  <c r="C8" i="18"/>
  <c r="C7" i="18"/>
  <c r="C6" i="18"/>
  <c r="C5" i="18"/>
  <c r="B14" i="18"/>
  <c r="B13" i="18"/>
  <c r="B12" i="18"/>
  <c r="B11" i="18"/>
  <c r="B10" i="18"/>
  <c r="B9" i="18"/>
  <c r="B8" i="18"/>
  <c r="B7" i="18"/>
  <c r="B6" i="18"/>
  <c r="B5" i="18"/>
  <c r="A7" i="18" l="1"/>
  <c r="A8" i="18"/>
  <c r="H8" i="18" l="1"/>
  <c r="H1" i="18"/>
  <c r="D1" i="18"/>
  <c r="C1" i="18"/>
  <c r="A9" i="18"/>
  <c r="I9" i="18" s="1"/>
  <c r="A6" i="18"/>
  <c r="F6" i="18" s="1"/>
  <c r="A5" i="18"/>
  <c r="B1" i="18"/>
  <c r="G7" i="18"/>
  <c r="G1" i="18"/>
  <c r="N1" i="18"/>
  <c r="D4" i="18" l="1"/>
  <c r="I1" i="18"/>
  <c r="E1" i="18"/>
  <c r="E5" i="18"/>
  <c r="F1" i="18"/>
  <c r="C3" i="18"/>
  <c r="B2" i="18"/>
</calcChain>
</file>

<file path=xl/sharedStrings.xml><?xml version="1.0" encoding="utf-8"?>
<sst xmlns="http://schemas.openxmlformats.org/spreadsheetml/2006/main" count="98" uniqueCount="67">
  <si>
    <t>Sorted Parameters</t>
  </si>
  <si>
    <t>Parameters Chosen</t>
  </si>
  <si>
    <t>Less</t>
  </si>
  <si>
    <t>More</t>
  </si>
  <si>
    <t>Intensity of Importance</t>
  </si>
  <si>
    <t>Definition</t>
  </si>
  <si>
    <t>Explanation</t>
  </si>
  <si>
    <t>Rank</t>
  </si>
  <si>
    <t>N</t>
  </si>
  <si>
    <t>P</t>
  </si>
  <si>
    <t>K</t>
  </si>
  <si>
    <t>Zn</t>
  </si>
  <si>
    <t>pH</t>
  </si>
  <si>
    <t>EC</t>
  </si>
  <si>
    <t>Parameters</t>
  </si>
  <si>
    <t>S</t>
  </si>
  <si>
    <t>SOC</t>
  </si>
  <si>
    <t>Yield (in kg/ha)</t>
  </si>
  <si>
    <t>Farmer Name or ID</t>
  </si>
  <si>
    <t>SQI</t>
  </si>
  <si>
    <t>Ranked SQI</t>
  </si>
  <si>
    <t>Index</t>
  </si>
  <si>
    <t>Rainfall during cropping season (cm)</t>
  </si>
  <si>
    <t>Ideal Value</t>
  </si>
  <si>
    <t>Assign Rank</t>
  </si>
  <si>
    <r>
      <rPr>
        <b/>
        <u/>
        <sz val="8"/>
        <color theme="1"/>
        <rFont val="Arial"/>
        <family val="2"/>
      </rPr>
      <t>No. of irrigations</t>
    </r>
    <r>
      <rPr>
        <b/>
        <sz val="8"/>
        <color theme="1"/>
        <rFont val="Arial"/>
        <family val="2"/>
      </rPr>
      <t xml:space="preserve"> 
(enter </t>
    </r>
    <r>
      <rPr>
        <b/>
        <u/>
        <sz val="8"/>
        <color theme="1"/>
        <rFont val="Arial"/>
        <family val="2"/>
      </rPr>
      <t>irrigation depth</t>
    </r>
    <r>
      <rPr>
        <b/>
        <sz val="8"/>
        <color theme="1"/>
        <rFont val="Arial"/>
        <family val="2"/>
      </rPr>
      <t>, cm, in C2) ↓</t>
    </r>
  </si>
  <si>
    <t>NLWL</t>
  </si>
  <si>
    <t>NL</t>
  </si>
  <si>
    <t>WL</t>
  </si>
  <si>
    <t>NLWL Farmers</t>
  </si>
  <si>
    <t>NL Farmers</t>
  </si>
  <si>
    <t>WL Farmers</t>
  </si>
  <si>
    <t>S Farmers</t>
  </si>
  <si>
    <t>SQI Median Value</t>
  </si>
  <si>
    <t>Farm Category</t>
  </si>
  <si>
    <t>Farmer %</t>
  </si>
  <si>
    <t>Legend</t>
  </si>
  <si>
    <t>Nutrient Limited</t>
  </si>
  <si>
    <t>Nutrient and Water Limited (Co-limited)</t>
  </si>
  <si>
    <t>Satisfactory Performance</t>
  </si>
  <si>
    <t>Water Limited</t>
  </si>
  <si>
    <t>Farm Agricultural Diagnostics Tool v1.0</t>
  </si>
  <si>
    <t>WUE</t>
  </si>
  <si>
    <r>
      <t>WUE (kg/m</t>
    </r>
    <r>
      <rPr>
        <b/>
        <vertAlign val="superscript"/>
        <sz val="14"/>
        <color theme="1"/>
        <rFont val="Calibri"/>
        <family val="2"/>
        <scheme val="minor"/>
      </rPr>
      <t>3</t>
    </r>
    <r>
      <rPr>
        <b/>
        <sz val="14"/>
        <color theme="1"/>
        <rFont val="Calibri"/>
        <family val="2"/>
        <scheme val="minor"/>
      </rPr>
      <t>)</t>
    </r>
  </si>
  <si>
    <t>Farmer Name</t>
  </si>
  <si>
    <t>Number of Farmers</t>
  </si>
  <si>
    <t>SQI (%)</t>
  </si>
  <si>
    <t>WUE Median Value</t>
  </si>
  <si>
    <r>
      <t>Water Use Efficiency (kg/m</t>
    </r>
    <r>
      <rPr>
        <b/>
        <vertAlign val="superscript"/>
        <sz val="20"/>
        <color theme="1"/>
        <rFont val="Calibri"/>
        <family val="2"/>
        <scheme val="minor"/>
      </rPr>
      <t>3</t>
    </r>
    <r>
      <rPr>
        <b/>
        <sz val="20"/>
        <color theme="1"/>
        <rFont val="Calibri"/>
        <family val="2"/>
        <scheme val="minor"/>
      </rPr>
      <t>)</t>
    </r>
  </si>
  <si>
    <t>Farmers ranked by Soil Quality Index (%)</t>
  </si>
  <si>
    <t>Soil Quality Index (%)</t>
  </si>
  <si>
    <t>Equal importance</t>
  </si>
  <si>
    <t>Two activities contribute equally to the objective.</t>
  </si>
  <si>
    <t>Weak or slight importance</t>
  </si>
  <si>
    <t>Moderate importance </t>
  </si>
  <si>
    <t>Experience and judgment slightly favour one activity over the other.</t>
  </si>
  <si>
    <t>Moderate plus importance</t>
  </si>
  <si>
    <t>Strong importance</t>
  </si>
  <si>
    <t>Experience and judgment strongly favour one activity over another.</t>
  </si>
  <si>
    <t>Very strong or demonstrated importance</t>
  </si>
  <si>
    <t>An activity is favoured very strongly over another; its dominance demonstrated in practice.</t>
  </si>
  <si>
    <t>Very, very strong importance</t>
  </si>
  <si>
    <t>Extreme importance</t>
  </si>
  <si>
    <t>The evidence favouring one activity over another is of the highest possible order of affirmation.</t>
  </si>
  <si>
    <t>The Fundamental Scale (Saaty, 2008)</t>
  </si>
  <si>
    <r>
      <t>Saaty, T. L. (2008). Decision making with the analytic hierarchy process. </t>
    </r>
    <r>
      <rPr>
        <i/>
        <sz val="11"/>
        <rFont val="Arial"/>
        <family val="2"/>
      </rPr>
      <t>International Journal of Services Sciences</t>
    </r>
    <r>
      <rPr>
        <sz val="11"/>
        <rFont val="Arial"/>
        <family val="2"/>
      </rPr>
      <t>, </t>
    </r>
    <r>
      <rPr>
        <i/>
        <sz val="11"/>
        <rFont val="Arial"/>
        <family val="2"/>
      </rPr>
      <t>1</t>
    </r>
    <r>
      <rPr>
        <sz val="11"/>
        <rFont val="Arial"/>
        <family val="2"/>
      </rPr>
      <t>(1), 83-98.</t>
    </r>
  </si>
  <si>
    <r>
      <t xml:space="preserve">Parameters ----------------------------- </t>
    </r>
    <r>
      <rPr>
        <b/>
        <sz val="14"/>
        <color theme="1"/>
        <rFont val="Calibri"/>
        <family val="2"/>
      </rPr>
      <t>→</t>
    </r>
    <r>
      <rPr>
        <b/>
        <sz val="14"/>
        <color theme="1"/>
        <rFont val="Arial"/>
        <family val="2"/>
      </rPr>
      <t xml:space="preserve">
Farmer name </t>
    </r>
    <r>
      <rPr>
        <b/>
        <sz val="14"/>
        <color theme="1"/>
        <rFont val="Calibri"/>
        <family val="2"/>
      </rPr>
      <t>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</si>
</sst>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4"/>
      <color rgb="FF000000"/>
      <name val="Arial"/>
      <family val="2"/>
    </font>
    <font>
      <b/>
      <sz val="14"/>
      <color theme="1"/>
      <name val="Arial"/>
      <family val="2"/>
    </font>
    <font>
      <sz val="8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i/>
      <sz val="8"/>
      <color theme="1"/>
      <name val="Arial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8"/>
      <color theme="1"/>
      <name val="Arial"/>
      <family val="2"/>
    </font>
    <font>
      <b/>
      <u/>
      <sz val="8"/>
      <color theme="1"/>
      <name val="Arial"/>
      <family val="2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8"/>
      <color theme="1"/>
      <name val="Arial"/>
      <family val="2"/>
    </font>
    <font>
      <b/>
      <vertAlign val="superscript"/>
      <sz val="20"/>
      <color theme="1"/>
      <name val="Calibri"/>
      <family val="2"/>
      <scheme val="minor"/>
    </font>
    <font>
      <b/>
      <vertAlign val="superscript"/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i/>
      <sz val="1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rgb="FFB7B7B7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F7F7F"/>
        <bgColor indexed="64"/>
      </patternFill>
    </fill>
    <fill>
      <patternFill patternType="solid">
        <fgColor rgb="FFBEAE7D"/>
        <bgColor indexed="64"/>
      </patternFill>
    </fill>
    <fill>
      <patternFill patternType="solid">
        <fgColor rgb="FFA1B8E1"/>
        <bgColor indexed="64"/>
      </patternFill>
    </fill>
    <fill>
      <patternFill patternType="solid">
        <fgColor rgb="FFB7D6A3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</cellStyleXfs>
  <cellXfs count="144">
    <xf numFmtId="0" fontId="0" fillId="0" borderId="0" xfId="0"/>
    <xf numFmtId="0" fontId="19" fillId="0" borderId="0" xfId="42"/>
    <xf numFmtId="0" fontId="18" fillId="0" borderId="0" xfId="42" applyFont="1" applyAlignment="1">
      <alignment horizontal="center" vertical="center"/>
    </xf>
    <xf numFmtId="0" fontId="18" fillId="0" borderId="0" xfId="42" applyFont="1" applyAlignment="1">
      <alignment horizontal="center" vertical="center" wrapText="1"/>
    </xf>
    <xf numFmtId="0" fontId="21" fillId="0" borderId="11" xfId="42" applyFont="1" applyBorder="1" applyAlignment="1">
      <alignment horizontal="center" vertical="center" wrapText="1"/>
    </xf>
    <xf numFmtId="0" fontId="24" fillId="0" borderId="0" xfId="42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8" fillId="35" borderId="0" xfId="0" applyFont="1" applyFill="1" applyAlignment="1">
      <alignment horizontal="center" vertical="center" wrapText="1"/>
    </xf>
    <xf numFmtId="0" fontId="28" fillId="35" borderId="0" xfId="0" applyFont="1" applyFill="1" applyBorder="1"/>
    <xf numFmtId="0" fontId="28" fillId="0" borderId="0" xfId="0" applyFont="1"/>
    <xf numFmtId="2" fontId="18" fillId="0" borderId="0" xfId="42" applyNumberFormat="1" applyFont="1" applyAlignment="1" applyProtection="1">
      <alignment horizontal="center" vertical="center"/>
    </xf>
    <xf numFmtId="0" fontId="28" fillId="35" borderId="0" xfId="0" applyFont="1" applyFill="1" applyAlignment="1" applyProtection="1">
      <alignment horizontal="center" vertical="center" wrapText="1"/>
      <protection locked="0"/>
    </xf>
    <xf numFmtId="0" fontId="28" fillId="35" borderId="0" xfId="0" applyFont="1" applyFill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20" fillId="37" borderId="0" xfId="42" applyFont="1" applyFill="1" applyAlignment="1">
      <alignment horizontal="center" vertical="center"/>
    </xf>
    <xf numFmtId="0" fontId="18" fillId="37" borderId="0" xfId="42" applyFont="1" applyFill="1" applyAlignment="1">
      <alignment horizontal="center" vertical="center"/>
    </xf>
    <xf numFmtId="0" fontId="19" fillId="37" borderId="0" xfId="42" applyFill="1"/>
    <xf numFmtId="0" fontId="21" fillId="37" borderId="0" xfId="42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/>
    <xf numFmtId="0" fontId="25" fillId="36" borderId="10" xfId="0" applyFont="1" applyFill="1" applyBorder="1" applyAlignment="1">
      <alignment horizontal="center" vertical="center"/>
    </xf>
    <xf numFmtId="0" fontId="0" fillId="36" borderId="0" xfId="0" applyFill="1"/>
    <xf numFmtId="0" fontId="0" fillId="36" borderId="0" xfId="0" applyFont="1" applyFill="1" applyBorder="1" applyAlignment="1">
      <alignment horizontal="right" vertical="center"/>
    </xf>
    <xf numFmtId="0" fontId="0" fillId="0" borderId="10" xfId="0" applyBorder="1"/>
    <xf numFmtId="0" fontId="25" fillId="35" borderId="0" xfId="0" applyFont="1" applyFill="1" applyAlignment="1">
      <alignment horizontal="center" vertical="center" wrapText="1"/>
    </xf>
    <xf numFmtId="0" fontId="25" fillId="35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18" fillId="0" borderId="0" xfId="42" applyNumberFormat="1" applyFont="1" applyFill="1" applyBorder="1" applyAlignment="1" applyProtection="1">
      <alignment horizontal="center" vertical="center"/>
    </xf>
    <xf numFmtId="0" fontId="19" fillId="0" borderId="0" xfId="42" applyFill="1" applyBorder="1"/>
    <xf numFmtId="0" fontId="0" fillId="0" borderId="12" xfId="0" applyBorder="1"/>
    <xf numFmtId="0" fontId="18" fillId="34" borderId="10" xfId="42" applyFont="1" applyFill="1" applyBorder="1" applyAlignment="1">
      <alignment horizontal="center" vertical="center"/>
    </xf>
    <xf numFmtId="0" fontId="20" fillId="34" borderId="10" xfId="4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34" borderId="10" xfId="0" applyFill="1" applyBorder="1"/>
    <xf numFmtId="0" fontId="0" fillId="34" borderId="32" xfId="0" applyFill="1" applyBorder="1" applyAlignment="1">
      <alignment horizontal="center" vertical="center"/>
    </xf>
    <xf numFmtId="0" fontId="0" fillId="34" borderId="30" xfId="0" applyFill="1" applyBorder="1" applyAlignment="1">
      <alignment horizontal="center" vertical="center"/>
    </xf>
    <xf numFmtId="0" fontId="0" fillId="34" borderId="33" xfId="0" applyFill="1" applyBorder="1" applyAlignment="1">
      <alignment horizontal="center" vertical="center"/>
    </xf>
    <xf numFmtId="0" fontId="30" fillId="36" borderId="34" xfId="42" applyFont="1" applyFill="1" applyBorder="1" applyAlignment="1" applyProtection="1">
      <alignment horizontal="center" vertical="center" wrapText="1"/>
    </xf>
    <xf numFmtId="0" fontId="30" fillId="36" borderId="35" xfId="42" applyFont="1" applyFill="1" applyBorder="1" applyAlignment="1" applyProtection="1">
      <alignment horizontal="center" vertical="center" wrapText="1"/>
    </xf>
    <xf numFmtId="0" fontId="30" fillId="36" borderId="31" xfId="42" applyFont="1" applyFill="1" applyBorder="1" applyAlignment="1" applyProtection="1">
      <alignment horizontal="center" vertical="center" wrapText="1"/>
    </xf>
    <xf numFmtId="2" fontId="18" fillId="36" borderId="11" xfId="42" applyNumberFormat="1" applyFont="1" applyFill="1" applyBorder="1" applyAlignment="1" applyProtection="1">
      <alignment horizontal="center" vertical="center"/>
    </xf>
    <xf numFmtId="2" fontId="18" fillId="36" borderId="37" xfId="42" applyNumberFormat="1" applyFont="1" applyFill="1" applyBorder="1" applyAlignment="1" applyProtection="1">
      <alignment horizontal="center" vertical="center"/>
    </xf>
    <xf numFmtId="0" fontId="0" fillId="0" borderId="13" xfId="0" applyBorder="1"/>
    <xf numFmtId="0" fontId="0" fillId="0" borderId="20" xfId="0" applyBorder="1"/>
    <xf numFmtId="0" fontId="0" fillId="34" borderId="12" xfId="0" applyFill="1" applyBorder="1"/>
    <xf numFmtId="0" fontId="25" fillId="36" borderId="10" xfId="0" applyFont="1" applyFill="1" applyBorder="1" applyAlignment="1" applyProtection="1">
      <alignment horizontal="center" vertical="center"/>
    </xf>
    <xf numFmtId="0" fontId="0" fillId="34" borderId="10" xfId="0" applyFill="1" applyBorder="1" applyAlignment="1">
      <alignment horizontal="center"/>
    </xf>
    <xf numFmtId="0" fontId="25" fillId="36" borderId="38" xfId="0" applyFont="1" applyFill="1" applyBorder="1" applyAlignment="1">
      <alignment horizontal="center" vertical="center" wrapText="1"/>
    </xf>
    <xf numFmtId="0" fontId="25" fillId="36" borderId="39" xfId="0" applyFont="1" applyFill="1" applyBorder="1" applyAlignment="1">
      <alignment horizontal="center" vertical="center" wrapText="1"/>
    </xf>
    <xf numFmtId="0" fontId="25" fillId="36" borderId="40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25" fillId="36" borderId="19" xfId="0" applyFont="1" applyFill="1" applyBorder="1" applyAlignment="1">
      <alignment horizontal="center" vertical="center" wrapText="1"/>
    </xf>
    <xf numFmtId="0" fontId="0" fillId="35" borderId="0" xfId="0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9" fillId="0" borderId="0" xfId="42" applyFill="1" applyBorder="1" applyAlignment="1">
      <alignment horizontal="center" vertical="center"/>
    </xf>
    <xf numFmtId="0" fontId="19" fillId="0" borderId="0" xfId="42" applyAlignment="1">
      <alignment horizontal="center" vertical="center"/>
    </xf>
    <xf numFmtId="0" fontId="19" fillId="0" borderId="0" xfId="42" applyAlignment="1">
      <alignment horizontal="center" vertical="center" wrapText="1"/>
    </xf>
    <xf numFmtId="0" fontId="27" fillId="33" borderId="20" xfId="42" applyNumberFormat="1" applyFont="1" applyFill="1" applyBorder="1" applyAlignment="1">
      <alignment horizontal="center" wrapText="1"/>
    </xf>
    <xf numFmtId="0" fontId="27" fillId="33" borderId="36" xfId="42" applyNumberFormat="1" applyFont="1" applyFill="1" applyBorder="1" applyAlignment="1">
      <alignment horizontal="center" wrapText="1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19" fillId="0" borderId="25" xfId="42" applyBorder="1" applyAlignment="1">
      <alignment horizontal="center"/>
    </xf>
    <xf numFmtId="0" fontId="19" fillId="0" borderId="0" xfId="42" applyBorder="1" applyAlignment="1">
      <alignment horizontal="center"/>
    </xf>
    <xf numFmtId="0" fontId="19" fillId="0" borderId="26" xfId="42" applyBorder="1" applyAlignment="1">
      <alignment horizontal="center"/>
    </xf>
    <xf numFmtId="0" fontId="22" fillId="33" borderId="32" xfId="42" applyFont="1" applyFill="1" applyBorder="1" applyAlignment="1" applyProtection="1">
      <alignment horizontal="center" vertical="center" wrapText="1"/>
    </xf>
    <xf numFmtId="0" fontId="0" fillId="0" borderId="24" xfId="0" applyFill="1" applyBorder="1" applyAlignment="1">
      <alignment horizontal="left"/>
    </xf>
    <xf numFmtId="0" fontId="0" fillId="0" borderId="24" xfId="0" applyBorder="1" applyAlignment="1">
      <alignment horizontal="left"/>
    </xf>
    <xf numFmtId="0" fontId="19" fillId="0" borderId="24" xfId="42" applyBorder="1" applyAlignment="1">
      <alignment horizontal="left"/>
    </xf>
    <xf numFmtId="0" fontId="35" fillId="33" borderId="32" xfId="42" applyNumberFormat="1" applyFont="1" applyFill="1" applyBorder="1" applyAlignment="1">
      <alignment horizontal="right" vertical="center" wrapText="1"/>
    </xf>
    <xf numFmtId="0" fontId="25" fillId="38" borderId="17" xfId="0" applyFont="1" applyFill="1" applyBorder="1" applyAlignment="1">
      <alignment horizontal="center" vertical="center"/>
    </xf>
    <xf numFmtId="0" fontId="25" fillId="38" borderId="18" xfId="0" applyFont="1" applyFill="1" applyBorder="1" applyAlignment="1">
      <alignment horizontal="center" vertical="center"/>
    </xf>
    <xf numFmtId="0" fontId="25" fillId="38" borderId="19" xfId="0" applyFont="1" applyFill="1" applyBorder="1" applyAlignment="1">
      <alignment horizontal="center" vertical="center"/>
    </xf>
    <xf numFmtId="0" fontId="25" fillId="39" borderId="17" xfId="0" applyFont="1" applyFill="1" applyBorder="1" applyAlignment="1">
      <alignment horizontal="center" vertical="center"/>
    </xf>
    <xf numFmtId="0" fontId="25" fillId="39" borderId="18" xfId="0" applyFont="1" applyFill="1" applyBorder="1" applyAlignment="1">
      <alignment horizontal="center" vertical="center"/>
    </xf>
    <xf numFmtId="0" fontId="25" fillId="39" borderId="19" xfId="0" applyFont="1" applyFill="1" applyBorder="1" applyAlignment="1">
      <alignment horizontal="center" vertical="center"/>
    </xf>
    <xf numFmtId="0" fontId="25" fillId="40" borderId="17" xfId="0" applyFont="1" applyFill="1" applyBorder="1" applyAlignment="1">
      <alignment horizontal="center" vertical="center"/>
    </xf>
    <xf numFmtId="0" fontId="25" fillId="40" borderId="18" xfId="0" applyFont="1" applyFill="1" applyBorder="1" applyAlignment="1">
      <alignment horizontal="center" vertical="center"/>
    </xf>
    <xf numFmtId="0" fontId="25" fillId="40" borderId="19" xfId="0" applyFont="1" applyFill="1" applyBorder="1" applyAlignment="1">
      <alignment horizontal="center" vertical="center"/>
    </xf>
    <xf numFmtId="0" fontId="25" fillId="41" borderId="17" xfId="0" applyFont="1" applyFill="1" applyBorder="1" applyAlignment="1">
      <alignment horizontal="center" vertical="center"/>
    </xf>
    <xf numFmtId="0" fontId="25" fillId="41" borderId="18" xfId="0" applyFont="1" applyFill="1" applyBorder="1" applyAlignment="1">
      <alignment horizontal="center" vertical="center"/>
    </xf>
    <xf numFmtId="0" fontId="25" fillId="41" borderId="19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wrapText="1"/>
    </xf>
    <xf numFmtId="0" fontId="0" fillId="39" borderId="13" xfId="0" applyFill="1" applyBorder="1" applyAlignment="1">
      <alignment horizontal="center" wrapText="1"/>
    </xf>
    <xf numFmtId="0" fontId="0" fillId="39" borderId="10" xfId="0" applyFill="1" applyBorder="1"/>
    <xf numFmtId="0" fontId="0" fillId="39" borderId="15" xfId="0" applyFill="1" applyBorder="1"/>
    <xf numFmtId="0" fontId="0" fillId="38" borderId="13" xfId="0" applyFill="1" applyBorder="1" applyAlignment="1">
      <alignment horizontal="center" wrapText="1"/>
    </xf>
    <xf numFmtId="0" fontId="0" fillId="38" borderId="10" xfId="0" applyFill="1" applyBorder="1"/>
    <xf numFmtId="0" fontId="0" fillId="38" borderId="15" xfId="0" applyFill="1" applyBorder="1"/>
    <xf numFmtId="0" fontId="0" fillId="40" borderId="13" xfId="0" applyFill="1" applyBorder="1" applyAlignment="1">
      <alignment horizontal="center" wrapText="1"/>
    </xf>
    <xf numFmtId="0" fontId="0" fillId="40" borderId="10" xfId="0" applyFill="1" applyBorder="1"/>
    <xf numFmtId="0" fontId="0" fillId="40" borderId="15" xfId="0" applyFill="1" applyBorder="1"/>
    <xf numFmtId="0" fontId="0" fillId="41" borderId="14" xfId="0" applyFill="1" applyBorder="1" applyAlignment="1">
      <alignment horizontal="center" wrapText="1"/>
    </xf>
    <xf numFmtId="0" fontId="0" fillId="41" borderId="22" xfId="0" applyFill="1" applyBorder="1"/>
    <xf numFmtId="0" fontId="0" fillId="41" borderId="16" xfId="0" applyFill="1" applyBorder="1"/>
    <xf numFmtId="0" fontId="39" fillId="35" borderId="0" xfId="0" applyFont="1" applyFill="1"/>
    <xf numFmtId="0" fontId="40" fillId="0" borderId="17" xfId="0" applyFont="1" applyBorder="1" applyAlignment="1">
      <alignment horizontal="center" vertical="center" wrapText="1"/>
    </xf>
    <xf numFmtId="0" fontId="40" fillId="0" borderId="18" xfId="0" applyFont="1" applyBorder="1" applyAlignment="1">
      <alignment horizontal="center" vertical="center" wrapText="1"/>
    </xf>
    <xf numFmtId="0" fontId="40" fillId="0" borderId="19" xfId="0" applyFont="1" applyBorder="1" applyAlignment="1">
      <alignment horizontal="center" vertical="center" wrapText="1"/>
    </xf>
    <xf numFmtId="0" fontId="40" fillId="35" borderId="0" xfId="0" applyFont="1" applyFill="1" applyAlignment="1">
      <alignment horizontal="center" vertical="center"/>
    </xf>
    <xf numFmtId="0" fontId="39" fillId="0" borderId="15" xfId="0" applyFont="1" applyBorder="1" applyAlignment="1">
      <alignment vertical="top" wrapText="1"/>
    </xf>
    <xf numFmtId="0" fontId="39" fillId="35" borderId="0" xfId="0" applyFont="1" applyFill="1" applyAlignment="1">
      <alignment wrapText="1"/>
    </xf>
    <xf numFmtId="0" fontId="41" fillId="0" borderId="20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3" xfId="0" applyFont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2" xfId="0" applyFont="1" applyBorder="1" applyAlignment="1">
      <alignment horizontal="center" vertical="center" wrapText="1"/>
    </xf>
    <xf numFmtId="0" fontId="41" fillId="0" borderId="16" xfId="0" applyFont="1" applyBorder="1" applyAlignment="1">
      <alignment horizontal="center" vertical="center" wrapText="1"/>
    </xf>
    <xf numFmtId="0" fontId="38" fillId="0" borderId="38" xfId="0" applyFont="1" applyBorder="1" applyAlignment="1">
      <alignment horizontal="center" wrapText="1"/>
    </xf>
    <xf numFmtId="0" fontId="38" fillId="0" borderId="39" xfId="0" applyFont="1" applyBorder="1" applyAlignment="1">
      <alignment horizontal="center" wrapText="1"/>
    </xf>
    <xf numFmtId="0" fontId="38" fillId="0" borderId="40" xfId="0" applyFont="1" applyBorder="1" applyAlignment="1">
      <alignment horizontal="center" wrapText="1"/>
    </xf>
    <xf numFmtId="0" fontId="42" fillId="0" borderId="0" xfId="0" applyFont="1" applyBorder="1" applyAlignment="1">
      <alignment horizontal="left" vertical="center" wrapText="1"/>
    </xf>
    <xf numFmtId="0" fontId="32" fillId="34" borderId="0" xfId="0" applyFont="1" applyFill="1" applyAlignment="1">
      <alignment horizontal="center" vertical="center"/>
    </xf>
    <xf numFmtId="0" fontId="29" fillId="36" borderId="10" xfId="0" applyFont="1" applyFill="1" applyBorder="1" applyAlignment="1">
      <alignment horizontal="center" vertical="center"/>
    </xf>
    <xf numFmtId="0" fontId="0" fillId="41" borderId="22" xfId="0" applyFill="1" applyBorder="1" applyAlignment="1">
      <alignment horizontal="center" wrapText="1"/>
    </xf>
    <xf numFmtId="0" fontId="0" fillId="41" borderId="16" xfId="0" applyFill="1" applyBorder="1" applyAlignment="1">
      <alignment horizontal="center" wrapText="1"/>
    </xf>
    <xf numFmtId="0" fontId="25" fillId="38" borderId="28" xfId="0" applyFont="1" applyFill="1" applyBorder="1" applyAlignment="1">
      <alignment horizontal="center" vertical="center"/>
    </xf>
    <xf numFmtId="0" fontId="25" fillId="38" borderId="29" xfId="0" applyFont="1" applyFill="1" applyBorder="1" applyAlignment="1">
      <alignment horizontal="center" vertical="center"/>
    </xf>
    <xf numFmtId="0" fontId="25" fillId="38" borderId="27" xfId="0" applyFont="1" applyFill="1" applyBorder="1" applyAlignment="1">
      <alignment horizontal="center" vertical="center"/>
    </xf>
    <xf numFmtId="0" fontId="25" fillId="39" borderId="28" xfId="0" applyFont="1" applyFill="1" applyBorder="1" applyAlignment="1">
      <alignment horizontal="center" vertical="center"/>
    </xf>
    <xf numFmtId="0" fontId="25" fillId="39" borderId="29" xfId="0" applyFont="1" applyFill="1" applyBorder="1" applyAlignment="1">
      <alignment horizontal="center" vertical="center"/>
    </xf>
    <xf numFmtId="0" fontId="25" fillId="39" borderId="27" xfId="0" applyFont="1" applyFill="1" applyBorder="1" applyAlignment="1">
      <alignment horizontal="center" vertical="center"/>
    </xf>
    <xf numFmtId="0" fontId="25" fillId="40" borderId="28" xfId="0" applyFont="1" applyFill="1" applyBorder="1" applyAlignment="1">
      <alignment horizontal="center" vertical="center"/>
    </xf>
    <xf numFmtId="0" fontId="25" fillId="40" borderId="29" xfId="0" applyFont="1" applyFill="1" applyBorder="1" applyAlignment="1">
      <alignment horizontal="center" vertical="center"/>
    </xf>
    <xf numFmtId="0" fontId="25" fillId="40" borderId="27" xfId="0" applyFont="1" applyFill="1" applyBorder="1" applyAlignment="1">
      <alignment horizontal="center" vertical="center"/>
    </xf>
    <xf numFmtId="0" fontId="25" fillId="41" borderId="28" xfId="0" applyFont="1" applyFill="1" applyBorder="1" applyAlignment="1">
      <alignment horizontal="center" vertical="center"/>
    </xf>
    <xf numFmtId="0" fontId="25" fillId="41" borderId="29" xfId="0" applyFont="1" applyFill="1" applyBorder="1" applyAlignment="1">
      <alignment horizontal="center" vertical="center"/>
    </xf>
    <xf numFmtId="0" fontId="25" fillId="41" borderId="27" xfId="0" applyFont="1" applyFill="1" applyBorder="1" applyAlignment="1">
      <alignment horizontal="center" vertical="center"/>
    </xf>
    <xf numFmtId="0" fontId="25" fillId="36" borderId="17" xfId="0" applyFont="1" applyFill="1" applyBorder="1" applyAlignment="1">
      <alignment horizontal="center" vertical="center" wrapText="1"/>
    </xf>
    <xf numFmtId="0" fontId="25" fillId="36" borderId="18" xfId="0" applyFont="1" applyFill="1" applyBorder="1" applyAlignment="1">
      <alignment horizontal="center" vertical="center" wrapText="1"/>
    </xf>
    <xf numFmtId="0" fontId="25" fillId="36" borderId="19" xfId="0" applyFont="1" applyFill="1" applyBorder="1" applyAlignment="1">
      <alignment horizontal="center" vertical="center" wrapText="1"/>
    </xf>
    <xf numFmtId="0" fontId="0" fillId="38" borderId="12" xfId="0" applyFill="1" applyBorder="1" applyAlignment="1">
      <alignment horizontal="left" wrapText="1"/>
    </xf>
    <xf numFmtId="0" fontId="0" fillId="38" borderId="21" xfId="0" applyFill="1" applyBorder="1" applyAlignment="1">
      <alignment horizontal="left" wrapText="1"/>
    </xf>
    <xf numFmtId="0" fontId="0" fillId="39" borderId="10" xfId="0" applyFill="1" applyBorder="1" applyAlignment="1">
      <alignment horizontal="center" wrapText="1"/>
    </xf>
    <xf numFmtId="0" fontId="0" fillId="39" borderId="15" xfId="0" applyFill="1" applyBorder="1" applyAlignment="1">
      <alignment horizontal="center" wrapText="1"/>
    </xf>
    <xf numFmtId="0" fontId="0" fillId="40" borderId="10" xfId="0" applyFill="1" applyBorder="1" applyAlignment="1">
      <alignment horizontal="center" wrapText="1"/>
    </xf>
    <xf numFmtId="0" fontId="0" fillId="40" borderId="15" xfId="0" applyFill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0">
    <dxf>
      <fill>
        <patternFill>
          <bgColor rgb="FFB7D6A3"/>
        </patternFill>
      </fill>
    </dxf>
    <dxf>
      <fill>
        <patternFill>
          <bgColor rgb="FFA1B8E1"/>
        </patternFill>
      </fill>
    </dxf>
    <dxf>
      <fill>
        <patternFill>
          <fgColor auto="1"/>
          <bgColor rgb="FFBEAE7D"/>
        </patternFill>
      </fill>
    </dxf>
    <dxf>
      <fill>
        <patternFill patternType="solid">
          <fgColor rgb="FFDF7F7F"/>
          <bgColor rgb="FFDF7F7F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7" tint="0.79998168889431442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6"/>
        </patternFill>
      </fill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09"/>
    </tableStyle>
  </tableStyles>
  <colors>
    <mruColors>
      <color rgb="FFB7D6A3"/>
      <color rgb="FFA1B8E1"/>
      <color rgb="FFDF7F7F"/>
      <color rgb="FFBEAE7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6</xdr:row>
      <xdr:rowOff>447675</xdr:rowOff>
    </xdr:from>
    <xdr:to>
      <xdr:col>10</xdr:col>
      <xdr:colOff>95250</xdr:colOff>
      <xdr:row>8</xdr:row>
      <xdr:rowOff>161925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71450" y="3533775"/>
          <a:ext cx="6400800" cy="74295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 baseline="0">
              <a:solidFill>
                <a:sysClr val="windowText" lastClr="000000"/>
              </a:solidFill>
            </a:rPr>
            <a:t>           </a:t>
          </a:r>
          <a:r>
            <a:rPr lang="en-IN" sz="1600" b="1">
              <a:solidFill>
                <a:sysClr val="windowText" lastClr="000000"/>
              </a:solidFill>
            </a:rPr>
            <a:t>Clean up</a:t>
          </a:r>
        </a:p>
      </xdr:txBody>
    </xdr:sp>
    <xdr:clientData/>
  </xdr:twoCellAnchor>
  <xdr:twoCellAnchor>
    <xdr:from>
      <xdr:col>0</xdr:col>
      <xdr:colOff>190500</xdr:colOff>
      <xdr:row>5</xdr:row>
      <xdr:rowOff>66675</xdr:rowOff>
    </xdr:from>
    <xdr:to>
      <xdr:col>10</xdr:col>
      <xdr:colOff>85725</xdr:colOff>
      <xdr:row>6</xdr:row>
      <xdr:rowOff>295275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0500" y="2638425"/>
          <a:ext cx="6372225" cy="74295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 baseline="0">
              <a:solidFill>
                <a:sysClr val="windowText" lastClr="000000"/>
              </a:solidFill>
            </a:rPr>
            <a:t>     </a:t>
          </a:r>
          <a:r>
            <a:rPr lang="en-IN" sz="1600" b="1">
              <a:solidFill>
                <a:sysClr val="windowText" lastClr="000000"/>
              </a:solidFill>
            </a:rPr>
            <a:t>All</a:t>
          </a:r>
          <a:r>
            <a:rPr lang="en-IN" sz="1600" b="1" baseline="0">
              <a:solidFill>
                <a:sysClr val="windowText" lastClr="000000"/>
              </a:solidFill>
            </a:rPr>
            <a:t> Components</a:t>
          </a:r>
          <a:endParaRPr lang="en-IN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209550</xdr:colOff>
      <xdr:row>1</xdr:row>
      <xdr:rowOff>419100</xdr:rowOff>
    </xdr:from>
    <xdr:to>
      <xdr:col>10</xdr:col>
      <xdr:colOff>57150</xdr:colOff>
      <xdr:row>4</xdr:row>
      <xdr:rowOff>419100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9550" y="933450"/>
          <a:ext cx="6324600" cy="154305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>
              <a:solidFill>
                <a:sysClr val="windowText" lastClr="000000"/>
              </a:solidFill>
            </a:rPr>
            <a:t>          Individual </a:t>
          </a:r>
          <a:br>
            <a:rPr lang="en-IN" sz="1600" b="1">
              <a:solidFill>
                <a:sysClr val="windowText" lastClr="000000"/>
              </a:solidFill>
            </a:rPr>
          </a:br>
          <a:r>
            <a:rPr lang="en-IN" sz="1600" b="1" baseline="0">
              <a:solidFill>
                <a:sysClr val="windowText" lastClr="000000"/>
              </a:solidFill>
            </a:rPr>
            <a:t>        </a:t>
          </a:r>
          <a:r>
            <a:rPr lang="en-IN" sz="1600" b="1">
              <a:solidFill>
                <a:sysClr val="windowText" lastClr="000000"/>
              </a:solidFill>
            </a:rPr>
            <a:t>Components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28575</xdr:rowOff>
        </xdr:from>
        <xdr:to>
          <xdr:col>4</xdr:col>
          <xdr:colOff>523875</xdr:colOff>
          <xdr:row>3</xdr:row>
          <xdr:rowOff>85725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Soil Indicator (SQI)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2</xdr:row>
          <xdr:rowOff>38100</xdr:rowOff>
        </xdr:from>
        <xdr:to>
          <xdr:col>6</xdr:col>
          <xdr:colOff>600075</xdr:colOff>
          <xdr:row>3</xdr:row>
          <xdr:rowOff>95250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Water Indicator (WUE)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</xdr:row>
          <xdr:rowOff>38100</xdr:rowOff>
        </xdr:from>
        <xdr:to>
          <xdr:col>9</xdr:col>
          <xdr:colOff>38100</xdr:colOff>
          <xdr:row>3</xdr:row>
          <xdr:rowOff>95250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 All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5</xdr:col>
          <xdr:colOff>571500</xdr:colOff>
          <xdr:row>4</xdr:row>
          <xdr:rowOff>285750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Classify Farmers based on Performance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3</xdr:row>
          <xdr:rowOff>238125</xdr:rowOff>
        </xdr:from>
        <xdr:to>
          <xdr:col>8</xdr:col>
          <xdr:colOff>38100</xdr:colOff>
          <xdr:row>4</xdr:row>
          <xdr:rowOff>295275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5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</xdr:row>
          <xdr:rowOff>161925</xdr:rowOff>
        </xdr:from>
        <xdr:to>
          <xdr:col>6</xdr:col>
          <xdr:colOff>619125</xdr:colOff>
          <xdr:row>6</xdr:row>
          <xdr:rowOff>219075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5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FAD</a:t>
              </a:r>
            </a:p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(all above steps)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7</xdr:row>
          <xdr:rowOff>28575</xdr:rowOff>
        </xdr:from>
        <xdr:to>
          <xdr:col>6</xdr:col>
          <xdr:colOff>609600</xdr:colOff>
          <xdr:row>8</xdr:row>
          <xdr:rowOff>85725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5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up User Inputs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CB2B86-505C-46DD-9966-45AC4FB01F0D}" name="Database" displayName="Database" ref="A1:B63" totalsRowShown="0" headerRowDxfId="108" dataDxfId="106" headerRowBorderDxfId="107" tableBorderDxfId="105" headerRowCellStyle="Normal 2" dataCellStyle="Normal 2">
  <autoFilter ref="A1:B63" xr:uid="{59EE5D7B-AE9A-4BDF-A9FC-2D493A1330C2}"/>
  <tableColumns count="2">
    <tableColumn id="5" xr3:uid="{B6E1FBC1-6CEC-4C7E-B7EC-2AD2EE8A2E5F}" name="Parameters" dataDxfId="104" dataCellStyle="Normal 2"/>
    <tableColumn id="6" xr3:uid="{85CB793E-DAFE-42DA-AAEB-DD74FD1A52E1}" name="Ideal Value" dataDxfId="103" dataCellStyle="Normal 2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372E0-17B4-46C9-BC70-FBE05B59733C}">
  <sheetPr codeName="Sheet1"/>
  <dimension ref="A1:C14"/>
  <sheetViews>
    <sheetView topLeftCell="A2" workbookViewId="0">
      <selection activeCell="D9" sqref="D9"/>
    </sheetView>
  </sheetViews>
  <sheetFormatPr defaultRowHeight="14.25" x14ac:dyDescent="0.2"/>
  <cols>
    <col min="1" max="1" width="17.42578125" style="105" customWidth="1"/>
    <col min="2" max="2" width="22.7109375" style="105" customWidth="1"/>
    <col min="3" max="3" width="59.28515625" style="105" customWidth="1"/>
    <col min="4" max="16384" width="9.140625" style="99"/>
  </cols>
  <sheetData>
    <row r="1" spans="1:3" ht="21" thickBot="1" x14ac:dyDescent="0.35">
      <c r="A1" s="115" t="s">
        <v>64</v>
      </c>
      <c r="B1" s="116"/>
      <c r="C1" s="117"/>
    </row>
    <row r="2" spans="1:3" s="103" customFormat="1" ht="30" customHeight="1" thickBot="1" x14ac:dyDescent="0.3">
      <c r="A2" s="100" t="s">
        <v>4</v>
      </c>
      <c r="B2" s="101" t="s">
        <v>5</v>
      </c>
      <c r="C2" s="102" t="s">
        <v>6</v>
      </c>
    </row>
    <row r="3" spans="1:3" x14ac:dyDescent="0.2">
      <c r="A3" s="106">
        <v>1</v>
      </c>
      <c r="B3" s="107" t="s">
        <v>51</v>
      </c>
      <c r="C3" s="108" t="s">
        <v>52</v>
      </c>
    </row>
    <row r="4" spans="1:3" ht="28.5" x14ac:dyDescent="0.2">
      <c r="A4" s="109">
        <v>2</v>
      </c>
      <c r="B4" s="110" t="s">
        <v>53</v>
      </c>
      <c r="C4" s="104"/>
    </row>
    <row r="5" spans="1:3" ht="28.5" x14ac:dyDescent="0.2">
      <c r="A5" s="109">
        <v>3</v>
      </c>
      <c r="B5" s="110" t="s">
        <v>54</v>
      </c>
      <c r="C5" s="111" t="s">
        <v>55</v>
      </c>
    </row>
    <row r="6" spans="1:3" ht="28.5" x14ac:dyDescent="0.2">
      <c r="A6" s="109">
        <v>4</v>
      </c>
      <c r="B6" s="110" t="s">
        <v>56</v>
      </c>
      <c r="C6" s="104"/>
    </row>
    <row r="7" spans="1:3" ht="28.5" x14ac:dyDescent="0.2">
      <c r="A7" s="109">
        <v>5</v>
      </c>
      <c r="B7" s="110" t="s">
        <v>57</v>
      </c>
      <c r="C7" s="111" t="s">
        <v>58</v>
      </c>
    </row>
    <row r="8" spans="1:3" ht="42.75" x14ac:dyDescent="0.2">
      <c r="A8" s="109">
        <v>7</v>
      </c>
      <c r="B8" s="110" t="s">
        <v>59</v>
      </c>
      <c r="C8" s="111" t="s">
        <v>60</v>
      </c>
    </row>
    <row r="9" spans="1:3" ht="28.5" x14ac:dyDescent="0.2">
      <c r="A9" s="109">
        <v>8</v>
      </c>
      <c r="B9" s="110" t="s">
        <v>61</v>
      </c>
      <c r="C9" s="104"/>
    </row>
    <row r="10" spans="1:3" ht="29.25" thickBot="1" x14ac:dyDescent="0.25">
      <c r="A10" s="112">
        <v>9</v>
      </c>
      <c r="B10" s="113" t="s">
        <v>62</v>
      </c>
      <c r="C10" s="114" t="s">
        <v>63</v>
      </c>
    </row>
    <row r="12" spans="1:3" ht="15.75" customHeight="1" x14ac:dyDescent="0.2">
      <c r="A12" s="118" t="s">
        <v>65</v>
      </c>
      <c r="B12" s="118"/>
      <c r="C12" s="118"/>
    </row>
    <row r="13" spans="1:3" ht="15" customHeight="1" x14ac:dyDescent="0.2">
      <c r="A13" s="118"/>
      <c r="B13" s="118"/>
      <c r="C13" s="118"/>
    </row>
    <row r="14" spans="1:3" x14ac:dyDescent="0.2">
      <c r="A14" s="118"/>
      <c r="B14" s="118"/>
      <c r="C14" s="118"/>
    </row>
  </sheetData>
  <mergeCells count="2">
    <mergeCell ref="A1:C1"/>
    <mergeCell ref="A12:C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AAF42-6B27-4F6E-8A01-530A2FBC7A2B}">
  <sheetPr codeName="Sheet2"/>
  <dimension ref="A1:B949"/>
  <sheetViews>
    <sheetView zoomScale="115" zoomScaleNormal="115" workbookViewId="0">
      <pane xSplit="1" topLeftCell="B1" activePane="topRight" state="frozen"/>
      <selection pane="topRight" activeCell="B9" sqref="B9"/>
    </sheetView>
  </sheetViews>
  <sheetFormatPr defaultColWidth="14.42578125" defaultRowHeight="12.75" x14ac:dyDescent="0.2"/>
  <cols>
    <col min="1" max="1" width="28" style="16" customWidth="1"/>
    <col min="2" max="2" width="40.28515625" style="16" customWidth="1"/>
    <col min="3" max="16384" width="14.42578125" style="16"/>
  </cols>
  <sheetData>
    <row r="1" spans="1:2" s="17" customFormat="1" ht="18" x14ac:dyDescent="0.25">
      <c r="A1" s="4" t="s">
        <v>14</v>
      </c>
      <c r="B1" s="4" t="s">
        <v>23</v>
      </c>
    </row>
    <row r="2" spans="1:2" x14ac:dyDescent="0.2">
      <c r="A2" s="31" t="s">
        <v>8</v>
      </c>
      <c r="B2" s="31" t="s">
        <v>3</v>
      </c>
    </row>
    <row r="3" spans="1:2" x14ac:dyDescent="0.2">
      <c r="A3" s="31" t="s">
        <v>16</v>
      </c>
      <c r="B3" s="31" t="s">
        <v>3</v>
      </c>
    </row>
    <row r="4" spans="1:2" x14ac:dyDescent="0.2">
      <c r="A4" s="31" t="s">
        <v>9</v>
      </c>
      <c r="B4" s="31" t="s">
        <v>3</v>
      </c>
    </row>
    <row r="5" spans="1:2" x14ac:dyDescent="0.2">
      <c r="A5" s="31" t="s">
        <v>10</v>
      </c>
      <c r="B5" s="31" t="s">
        <v>3</v>
      </c>
    </row>
    <row r="6" spans="1:2" x14ac:dyDescent="0.2">
      <c r="A6" s="31" t="s">
        <v>15</v>
      </c>
      <c r="B6" s="31" t="s">
        <v>3</v>
      </c>
    </row>
    <row r="7" spans="1:2" x14ac:dyDescent="0.2">
      <c r="A7" s="31" t="s">
        <v>11</v>
      </c>
      <c r="B7" s="31" t="s">
        <v>3</v>
      </c>
    </row>
    <row r="8" spans="1:2" x14ac:dyDescent="0.2">
      <c r="A8" s="31" t="s">
        <v>12</v>
      </c>
      <c r="B8" s="31"/>
    </row>
    <row r="9" spans="1:2" x14ac:dyDescent="0.2">
      <c r="A9" s="31" t="s">
        <v>13</v>
      </c>
      <c r="B9" s="31" t="s">
        <v>2</v>
      </c>
    </row>
    <row r="10" spans="1:2" x14ac:dyDescent="0.2">
      <c r="A10" s="32"/>
      <c r="B10" s="31"/>
    </row>
    <row r="11" spans="1:2" x14ac:dyDescent="0.2">
      <c r="A11" s="32"/>
      <c r="B11" s="31"/>
    </row>
    <row r="12" spans="1:2" x14ac:dyDescent="0.2">
      <c r="A12" s="32"/>
      <c r="B12" s="31"/>
    </row>
    <row r="13" spans="1:2" x14ac:dyDescent="0.2">
      <c r="A13" s="32"/>
      <c r="B13" s="31"/>
    </row>
    <row r="14" spans="1:2" x14ac:dyDescent="0.2">
      <c r="A14" s="32"/>
      <c r="B14" s="31"/>
    </row>
    <row r="15" spans="1:2" x14ac:dyDescent="0.2">
      <c r="A15" s="14"/>
      <c r="B15" s="15"/>
    </row>
    <row r="16" spans="1:2" x14ac:dyDescent="0.2">
      <c r="A16" s="14"/>
      <c r="B16" s="15"/>
    </row>
    <row r="17" spans="1:2" x14ac:dyDescent="0.2">
      <c r="A17" s="14"/>
      <c r="B17" s="15"/>
    </row>
    <row r="18" spans="1:2" x14ac:dyDescent="0.2">
      <c r="A18" s="14"/>
      <c r="B18" s="15"/>
    </row>
    <row r="19" spans="1:2" x14ac:dyDescent="0.2">
      <c r="A19" s="14"/>
      <c r="B19" s="15"/>
    </row>
    <row r="20" spans="1:2" x14ac:dyDescent="0.2">
      <c r="A20" s="14"/>
      <c r="B20" s="15"/>
    </row>
    <row r="21" spans="1:2" x14ac:dyDescent="0.2">
      <c r="A21" s="14"/>
      <c r="B21" s="15"/>
    </row>
    <row r="22" spans="1:2" x14ac:dyDescent="0.2">
      <c r="A22" s="14"/>
      <c r="B22" s="15"/>
    </row>
    <row r="23" spans="1:2" x14ac:dyDescent="0.2">
      <c r="A23" s="14"/>
      <c r="B23" s="15"/>
    </row>
    <row r="24" spans="1:2" x14ac:dyDescent="0.2">
      <c r="A24" s="14"/>
      <c r="B24" s="15"/>
    </row>
    <row r="25" spans="1:2" x14ac:dyDescent="0.2">
      <c r="A25" s="14"/>
      <c r="B25" s="15"/>
    </row>
    <row r="26" spans="1:2" x14ac:dyDescent="0.2">
      <c r="A26" s="14"/>
      <c r="B26" s="15"/>
    </row>
    <row r="27" spans="1:2" x14ac:dyDescent="0.2">
      <c r="A27" s="14"/>
      <c r="B27" s="15"/>
    </row>
    <row r="28" spans="1:2" x14ac:dyDescent="0.2">
      <c r="A28" s="14"/>
      <c r="B28" s="15"/>
    </row>
    <row r="29" spans="1:2" x14ac:dyDescent="0.2">
      <c r="A29" s="14"/>
      <c r="B29" s="15"/>
    </row>
    <row r="30" spans="1:2" x14ac:dyDescent="0.2">
      <c r="A30" s="14"/>
      <c r="B30" s="15"/>
    </row>
    <row r="31" spans="1:2" x14ac:dyDescent="0.2">
      <c r="A31" s="14"/>
      <c r="B31" s="15"/>
    </row>
    <row r="32" spans="1:2" x14ac:dyDescent="0.2">
      <c r="A32" s="14"/>
      <c r="B32" s="15"/>
    </row>
    <row r="33" spans="1:2" x14ac:dyDescent="0.2">
      <c r="A33" s="14"/>
      <c r="B33" s="15"/>
    </row>
    <row r="34" spans="1:2" x14ac:dyDescent="0.2">
      <c r="A34" s="14"/>
      <c r="B34" s="15"/>
    </row>
    <row r="35" spans="1:2" x14ac:dyDescent="0.2">
      <c r="A35" s="14"/>
      <c r="B35" s="15"/>
    </row>
    <row r="36" spans="1:2" x14ac:dyDescent="0.2">
      <c r="A36" s="14"/>
      <c r="B36" s="15"/>
    </row>
    <row r="37" spans="1:2" x14ac:dyDescent="0.2">
      <c r="A37" s="14"/>
      <c r="B37" s="15"/>
    </row>
    <row r="38" spans="1:2" x14ac:dyDescent="0.2">
      <c r="A38" s="14"/>
      <c r="B38" s="15"/>
    </row>
    <row r="39" spans="1:2" x14ac:dyDescent="0.2">
      <c r="A39" s="14"/>
      <c r="B39" s="15"/>
    </row>
    <row r="40" spans="1:2" x14ac:dyDescent="0.2">
      <c r="A40" s="14"/>
      <c r="B40" s="15"/>
    </row>
    <row r="41" spans="1:2" x14ac:dyDescent="0.2">
      <c r="A41" s="14"/>
      <c r="B41" s="15"/>
    </row>
    <row r="42" spans="1:2" x14ac:dyDescent="0.2">
      <c r="A42" s="14"/>
      <c r="B42" s="15"/>
    </row>
    <row r="43" spans="1:2" x14ac:dyDescent="0.2">
      <c r="A43" s="14"/>
      <c r="B43" s="15"/>
    </row>
    <row r="44" spans="1:2" x14ac:dyDescent="0.2">
      <c r="A44" s="14"/>
      <c r="B44" s="15"/>
    </row>
    <row r="45" spans="1:2" x14ac:dyDescent="0.2">
      <c r="A45" s="14"/>
      <c r="B45" s="15"/>
    </row>
    <row r="46" spans="1:2" x14ac:dyDescent="0.2">
      <c r="A46" s="14"/>
      <c r="B46" s="15"/>
    </row>
    <row r="47" spans="1:2" x14ac:dyDescent="0.2">
      <c r="A47" s="14"/>
      <c r="B47" s="15"/>
    </row>
    <row r="48" spans="1:2" x14ac:dyDescent="0.2">
      <c r="A48" s="14"/>
      <c r="B48" s="15"/>
    </row>
    <row r="49" spans="1:2" x14ac:dyDescent="0.2">
      <c r="A49" s="14"/>
      <c r="B49" s="15"/>
    </row>
    <row r="50" spans="1:2" x14ac:dyDescent="0.2">
      <c r="A50" s="14"/>
      <c r="B50" s="15"/>
    </row>
    <row r="51" spans="1:2" x14ac:dyDescent="0.2">
      <c r="A51" s="14"/>
      <c r="B51" s="15"/>
    </row>
    <row r="52" spans="1:2" x14ac:dyDescent="0.2">
      <c r="A52" s="14"/>
      <c r="B52" s="15"/>
    </row>
    <row r="53" spans="1:2" x14ac:dyDescent="0.2">
      <c r="A53" s="14"/>
      <c r="B53" s="15"/>
    </row>
    <row r="54" spans="1:2" x14ac:dyDescent="0.2">
      <c r="A54" s="14"/>
      <c r="B54" s="15"/>
    </row>
    <row r="55" spans="1:2" x14ac:dyDescent="0.2">
      <c r="A55" s="14"/>
      <c r="B55" s="15"/>
    </row>
    <row r="56" spans="1:2" x14ac:dyDescent="0.2">
      <c r="A56" s="14"/>
      <c r="B56" s="15"/>
    </row>
    <row r="57" spans="1:2" x14ac:dyDescent="0.2">
      <c r="A57" s="14"/>
      <c r="B57" s="15"/>
    </row>
    <row r="58" spans="1:2" x14ac:dyDescent="0.2">
      <c r="A58" s="14"/>
      <c r="B58" s="15"/>
    </row>
    <row r="59" spans="1:2" x14ac:dyDescent="0.2">
      <c r="A59" s="14"/>
      <c r="B59" s="15"/>
    </row>
    <row r="60" spans="1:2" x14ac:dyDescent="0.2">
      <c r="A60" s="14"/>
      <c r="B60" s="15"/>
    </row>
    <row r="61" spans="1:2" x14ac:dyDescent="0.2">
      <c r="A61" s="14"/>
      <c r="B61" s="15"/>
    </row>
    <row r="62" spans="1:2" x14ac:dyDescent="0.2">
      <c r="A62" s="14"/>
      <c r="B62" s="15"/>
    </row>
    <row r="63" spans="1:2" x14ac:dyDescent="0.2">
      <c r="A63" s="14"/>
      <c r="B63" s="15"/>
    </row>
    <row r="64" spans="1:2" x14ac:dyDescent="0.2">
      <c r="A64" s="15"/>
      <c r="B64" s="15"/>
    </row>
    <row r="65" spans="1:2" x14ac:dyDescent="0.2">
      <c r="A65" s="15"/>
      <c r="B65" s="15"/>
    </row>
    <row r="66" spans="1:2" x14ac:dyDescent="0.2">
      <c r="A66" s="15"/>
      <c r="B66" s="15"/>
    </row>
    <row r="67" spans="1:2" x14ac:dyDescent="0.2">
      <c r="A67" s="15"/>
      <c r="B67" s="15"/>
    </row>
    <row r="68" spans="1:2" x14ac:dyDescent="0.2">
      <c r="A68" s="15"/>
      <c r="B68" s="15"/>
    </row>
    <row r="69" spans="1:2" x14ac:dyDescent="0.2">
      <c r="A69" s="15"/>
      <c r="B69" s="15"/>
    </row>
    <row r="70" spans="1:2" x14ac:dyDescent="0.2">
      <c r="A70" s="15"/>
      <c r="B70" s="15"/>
    </row>
    <row r="71" spans="1:2" x14ac:dyDescent="0.2">
      <c r="A71" s="15"/>
      <c r="B71" s="15"/>
    </row>
    <row r="72" spans="1:2" x14ac:dyDescent="0.2">
      <c r="A72" s="15"/>
      <c r="B72" s="15"/>
    </row>
    <row r="73" spans="1:2" x14ac:dyDescent="0.2">
      <c r="A73" s="15"/>
      <c r="B73" s="15"/>
    </row>
    <row r="74" spans="1:2" x14ac:dyDescent="0.2">
      <c r="A74" s="15"/>
      <c r="B74" s="15"/>
    </row>
    <row r="75" spans="1:2" x14ac:dyDescent="0.2">
      <c r="A75" s="15"/>
      <c r="B75" s="15"/>
    </row>
    <row r="76" spans="1:2" x14ac:dyDescent="0.2">
      <c r="A76" s="15"/>
      <c r="B76" s="15"/>
    </row>
    <row r="77" spans="1:2" x14ac:dyDescent="0.2">
      <c r="A77" s="15"/>
      <c r="B77" s="15"/>
    </row>
    <row r="78" spans="1:2" x14ac:dyDescent="0.2">
      <c r="A78" s="15"/>
      <c r="B78" s="15"/>
    </row>
    <row r="79" spans="1:2" x14ac:dyDescent="0.2">
      <c r="A79" s="15"/>
      <c r="B79" s="15"/>
    </row>
    <row r="80" spans="1:2" x14ac:dyDescent="0.2">
      <c r="A80" s="15"/>
      <c r="B80" s="15"/>
    </row>
    <row r="81" spans="1:2" x14ac:dyDescent="0.2">
      <c r="A81" s="15"/>
      <c r="B81" s="15"/>
    </row>
    <row r="82" spans="1:2" x14ac:dyDescent="0.2">
      <c r="A82" s="15"/>
      <c r="B82" s="15"/>
    </row>
    <row r="83" spans="1:2" x14ac:dyDescent="0.2">
      <c r="A83" s="15"/>
      <c r="B83" s="15"/>
    </row>
    <row r="84" spans="1:2" x14ac:dyDescent="0.2">
      <c r="A84" s="15"/>
      <c r="B84" s="15"/>
    </row>
    <row r="85" spans="1:2" x14ac:dyDescent="0.2">
      <c r="A85" s="15"/>
      <c r="B85" s="15"/>
    </row>
    <row r="86" spans="1:2" x14ac:dyDescent="0.2">
      <c r="A86" s="15"/>
      <c r="B86" s="15"/>
    </row>
    <row r="87" spans="1:2" x14ac:dyDescent="0.2">
      <c r="A87" s="15"/>
      <c r="B87" s="15"/>
    </row>
    <row r="88" spans="1:2" x14ac:dyDescent="0.2">
      <c r="A88" s="15"/>
      <c r="B88" s="15"/>
    </row>
    <row r="89" spans="1:2" x14ac:dyDescent="0.2">
      <c r="A89" s="15"/>
      <c r="B89" s="15"/>
    </row>
    <row r="90" spans="1:2" x14ac:dyDescent="0.2">
      <c r="A90" s="15"/>
      <c r="B90" s="15"/>
    </row>
    <row r="91" spans="1:2" x14ac:dyDescent="0.2">
      <c r="A91" s="15"/>
      <c r="B91" s="15"/>
    </row>
    <row r="92" spans="1:2" x14ac:dyDescent="0.2">
      <c r="A92" s="15"/>
      <c r="B92" s="15"/>
    </row>
    <row r="93" spans="1:2" x14ac:dyDescent="0.2">
      <c r="A93" s="15"/>
      <c r="B93" s="15"/>
    </row>
    <row r="94" spans="1:2" x14ac:dyDescent="0.2">
      <c r="A94" s="15"/>
      <c r="B94" s="15"/>
    </row>
    <row r="95" spans="1:2" x14ac:dyDescent="0.2">
      <c r="A95" s="15"/>
      <c r="B95" s="15"/>
    </row>
    <row r="96" spans="1:2" x14ac:dyDescent="0.2">
      <c r="A96" s="15"/>
      <c r="B96" s="15"/>
    </row>
    <row r="97" spans="1:2" x14ac:dyDescent="0.2">
      <c r="A97" s="15"/>
      <c r="B97" s="15"/>
    </row>
    <row r="98" spans="1:2" x14ac:dyDescent="0.2">
      <c r="A98" s="15"/>
      <c r="B98" s="15"/>
    </row>
    <row r="99" spans="1:2" x14ac:dyDescent="0.2">
      <c r="A99" s="15"/>
      <c r="B99" s="15"/>
    </row>
    <row r="100" spans="1:2" x14ac:dyDescent="0.2">
      <c r="A100" s="15"/>
      <c r="B100" s="15"/>
    </row>
    <row r="101" spans="1:2" x14ac:dyDescent="0.2">
      <c r="A101" s="15"/>
      <c r="B101" s="15"/>
    </row>
    <row r="102" spans="1:2" x14ac:dyDescent="0.2">
      <c r="A102" s="15"/>
      <c r="B102" s="15"/>
    </row>
    <row r="103" spans="1:2" x14ac:dyDescent="0.2">
      <c r="A103" s="15"/>
      <c r="B103" s="15"/>
    </row>
    <row r="104" spans="1:2" x14ac:dyDescent="0.2">
      <c r="A104" s="15"/>
      <c r="B104" s="15"/>
    </row>
    <row r="105" spans="1:2" x14ac:dyDescent="0.2">
      <c r="A105" s="15"/>
      <c r="B105" s="15"/>
    </row>
    <row r="106" spans="1:2" x14ac:dyDescent="0.2">
      <c r="A106" s="15"/>
      <c r="B106" s="15"/>
    </row>
    <row r="107" spans="1:2" x14ac:dyDescent="0.2">
      <c r="A107" s="15"/>
      <c r="B107" s="15"/>
    </row>
    <row r="108" spans="1:2" x14ac:dyDescent="0.2">
      <c r="A108" s="15"/>
      <c r="B108" s="15"/>
    </row>
    <row r="109" spans="1:2" x14ac:dyDescent="0.2">
      <c r="A109" s="15"/>
      <c r="B109" s="15"/>
    </row>
    <row r="110" spans="1:2" x14ac:dyDescent="0.2">
      <c r="A110" s="15"/>
      <c r="B110" s="15"/>
    </row>
    <row r="111" spans="1:2" x14ac:dyDescent="0.2">
      <c r="A111" s="15"/>
      <c r="B111" s="15"/>
    </row>
    <row r="112" spans="1:2" x14ac:dyDescent="0.2">
      <c r="A112" s="15"/>
      <c r="B112" s="15"/>
    </row>
    <row r="113" spans="1:2" x14ac:dyDescent="0.2">
      <c r="A113" s="15"/>
      <c r="B113" s="15"/>
    </row>
    <row r="114" spans="1:2" x14ac:dyDescent="0.2">
      <c r="A114" s="15"/>
      <c r="B114" s="15"/>
    </row>
    <row r="115" spans="1:2" x14ac:dyDescent="0.2">
      <c r="A115" s="15"/>
      <c r="B115" s="15"/>
    </row>
    <row r="116" spans="1:2" x14ac:dyDescent="0.2">
      <c r="A116" s="15"/>
      <c r="B116" s="15"/>
    </row>
    <row r="117" spans="1:2" x14ac:dyDescent="0.2">
      <c r="A117" s="15"/>
      <c r="B117" s="15"/>
    </row>
    <row r="118" spans="1:2" x14ac:dyDescent="0.2">
      <c r="A118" s="15"/>
      <c r="B118" s="15"/>
    </row>
    <row r="119" spans="1:2" x14ac:dyDescent="0.2">
      <c r="A119" s="15"/>
      <c r="B119" s="15"/>
    </row>
    <row r="120" spans="1:2" x14ac:dyDescent="0.2">
      <c r="A120" s="15"/>
      <c r="B120" s="15"/>
    </row>
    <row r="121" spans="1:2" x14ac:dyDescent="0.2">
      <c r="A121" s="15"/>
      <c r="B121" s="15"/>
    </row>
    <row r="122" spans="1:2" x14ac:dyDescent="0.2">
      <c r="A122" s="15"/>
      <c r="B122" s="15"/>
    </row>
    <row r="123" spans="1:2" x14ac:dyDescent="0.2">
      <c r="A123" s="15"/>
      <c r="B123" s="15"/>
    </row>
    <row r="124" spans="1:2" x14ac:dyDescent="0.2">
      <c r="A124" s="15"/>
      <c r="B124" s="15"/>
    </row>
    <row r="125" spans="1:2" x14ac:dyDescent="0.2">
      <c r="A125" s="15"/>
      <c r="B125" s="15"/>
    </row>
    <row r="126" spans="1:2" x14ac:dyDescent="0.2">
      <c r="A126" s="15"/>
      <c r="B126" s="15"/>
    </row>
    <row r="127" spans="1:2" x14ac:dyDescent="0.2">
      <c r="A127" s="15"/>
      <c r="B127" s="15"/>
    </row>
    <row r="128" spans="1:2" x14ac:dyDescent="0.2">
      <c r="A128" s="15"/>
      <c r="B128" s="15"/>
    </row>
    <row r="129" spans="1:2" x14ac:dyDescent="0.2">
      <c r="A129" s="15"/>
      <c r="B129" s="15"/>
    </row>
    <row r="130" spans="1:2" x14ac:dyDescent="0.2">
      <c r="A130" s="15"/>
      <c r="B130" s="15"/>
    </row>
    <row r="131" spans="1:2" x14ac:dyDescent="0.2">
      <c r="A131" s="15"/>
      <c r="B131" s="15"/>
    </row>
    <row r="132" spans="1:2" x14ac:dyDescent="0.2">
      <c r="A132" s="15"/>
      <c r="B132" s="15"/>
    </row>
    <row r="133" spans="1:2" x14ac:dyDescent="0.2">
      <c r="A133" s="15"/>
      <c r="B133" s="15"/>
    </row>
    <row r="134" spans="1:2" x14ac:dyDescent="0.2">
      <c r="A134" s="15"/>
      <c r="B134" s="15"/>
    </row>
    <row r="135" spans="1:2" x14ac:dyDescent="0.2">
      <c r="A135" s="15"/>
      <c r="B135" s="15"/>
    </row>
    <row r="136" spans="1:2" x14ac:dyDescent="0.2">
      <c r="A136" s="15"/>
      <c r="B136" s="15"/>
    </row>
    <row r="137" spans="1:2" x14ac:dyDescent="0.2">
      <c r="A137" s="15"/>
      <c r="B137" s="15"/>
    </row>
    <row r="138" spans="1:2" x14ac:dyDescent="0.2">
      <c r="A138" s="15"/>
      <c r="B138" s="15"/>
    </row>
    <row r="139" spans="1:2" x14ac:dyDescent="0.2">
      <c r="A139" s="15"/>
      <c r="B139" s="15"/>
    </row>
    <row r="140" spans="1:2" x14ac:dyDescent="0.2">
      <c r="A140" s="15"/>
      <c r="B140" s="15"/>
    </row>
    <row r="141" spans="1:2" x14ac:dyDescent="0.2">
      <c r="A141" s="15"/>
      <c r="B141" s="15"/>
    </row>
    <row r="142" spans="1:2" x14ac:dyDescent="0.2">
      <c r="A142" s="15"/>
      <c r="B142" s="15"/>
    </row>
    <row r="143" spans="1:2" x14ac:dyDescent="0.2">
      <c r="A143" s="15"/>
      <c r="B143" s="15"/>
    </row>
    <row r="144" spans="1:2" x14ac:dyDescent="0.2">
      <c r="A144" s="15"/>
      <c r="B144" s="15"/>
    </row>
    <row r="145" spans="1:2" x14ac:dyDescent="0.2">
      <c r="A145" s="15"/>
      <c r="B145" s="15"/>
    </row>
    <row r="146" spans="1:2" x14ac:dyDescent="0.2">
      <c r="A146" s="15"/>
      <c r="B146" s="15"/>
    </row>
    <row r="147" spans="1:2" x14ac:dyDescent="0.2">
      <c r="A147" s="15"/>
      <c r="B147" s="15"/>
    </row>
    <row r="148" spans="1:2" x14ac:dyDescent="0.2">
      <c r="A148" s="15"/>
      <c r="B148" s="15"/>
    </row>
    <row r="149" spans="1:2" x14ac:dyDescent="0.2">
      <c r="A149" s="15"/>
      <c r="B149" s="15"/>
    </row>
    <row r="150" spans="1:2" x14ac:dyDescent="0.2">
      <c r="A150" s="15"/>
      <c r="B150" s="15"/>
    </row>
    <row r="151" spans="1:2" x14ac:dyDescent="0.2">
      <c r="A151" s="15"/>
      <c r="B151" s="15"/>
    </row>
    <row r="152" spans="1:2" x14ac:dyDescent="0.2">
      <c r="A152" s="15"/>
      <c r="B152" s="15"/>
    </row>
    <row r="153" spans="1:2" x14ac:dyDescent="0.2">
      <c r="A153" s="15"/>
      <c r="B153" s="15"/>
    </row>
    <row r="154" spans="1:2" x14ac:dyDescent="0.2">
      <c r="A154" s="15"/>
      <c r="B154" s="15"/>
    </row>
    <row r="155" spans="1:2" x14ac:dyDescent="0.2">
      <c r="A155" s="15"/>
      <c r="B155" s="15"/>
    </row>
    <row r="156" spans="1:2" x14ac:dyDescent="0.2">
      <c r="A156" s="15"/>
      <c r="B156" s="15"/>
    </row>
    <row r="157" spans="1:2" x14ac:dyDescent="0.2">
      <c r="A157" s="15"/>
      <c r="B157" s="15"/>
    </row>
    <row r="158" spans="1:2" x14ac:dyDescent="0.2">
      <c r="A158" s="15"/>
      <c r="B158" s="15"/>
    </row>
    <row r="159" spans="1:2" x14ac:dyDescent="0.2">
      <c r="A159" s="15"/>
      <c r="B159" s="15"/>
    </row>
    <row r="160" spans="1:2" x14ac:dyDescent="0.2">
      <c r="A160" s="15"/>
      <c r="B160" s="15"/>
    </row>
    <row r="161" spans="1:2" x14ac:dyDescent="0.2">
      <c r="A161" s="15"/>
      <c r="B161" s="15"/>
    </row>
    <row r="162" spans="1:2" x14ac:dyDescent="0.2">
      <c r="A162" s="15"/>
      <c r="B162" s="15"/>
    </row>
    <row r="163" spans="1:2" x14ac:dyDescent="0.2">
      <c r="A163" s="15"/>
      <c r="B163" s="15"/>
    </row>
    <row r="164" spans="1:2" x14ac:dyDescent="0.2">
      <c r="A164" s="15"/>
      <c r="B164" s="15"/>
    </row>
    <row r="165" spans="1:2" x14ac:dyDescent="0.2">
      <c r="A165" s="15"/>
      <c r="B165" s="15"/>
    </row>
    <row r="166" spans="1:2" x14ac:dyDescent="0.2">
      <c r="A166" s="15"/>
      <c r="B166" s="15"/>
    </row>
    <row r="167" spans="1:2" x14ac:dyDescent="0.2">
      <c r="A167" s="15"/>
      <c r="B167" s="15"/>
    </row>
    <row r="168" spans="1:2" x14ac:dyDescent="0.2">
      <c r="A168" s="15"/>
      <c r="B168" s="15"/>
    </row>
    <row r="169" spans="1:2" x14ac:dyDescent="0.2">
      <c r="A169" s="15"/>
      <c r="B169" s="15"/>
    </row>
    <row r="170" spans="1:2" x14ac:dyDescent="0.2">
      <c r="A170" s="15"/>
      <c r="B170" s="15"/>
    </row>
    <row r="171" spans="1:2" x14ac:dyDescent="0.2">
      <c r="A171" s="15"/>
      <c r="B171" s="15"/>
    </row>
    <row r="172" spans="1:2" x14ac:dyDescent="0.2">
      <c r="A172" s="15"/>
      <c r="B172" s="15"/>
    </row>
    <row r="173" spans="1:2" x14ac:dyDescent="0.2">
      <c r="A173" s="15"/>
      <c r="B173" s="15"/>
    </row>
    <row r="174" spans="1:2" x14ac:dyDescent="0.2">
      <c r="A174" s="15"/>
      <c r="B174" s="15"/>
    </row>
    <row r="175" spans="1:2" x14ac:dyDescent="0.2">
      <c r="A175" s="15"/>
      <c r="B175" s="15"/>
    </row>
    <row r="176" spans="1:2" x14ac:dyDescent="0.2">
      <c r="A176" s="15"/>
      <c r="B176" s="15"/>
    </row>
    <row r="177" spans="1:2" x14ac:dyDescent="0.2">
      <c r="A177" s="15"/>
      <c r="B177" s="15"/>
    </row>
    <row r="178" spans="1:2" x14ac:dyDescent="0.2">
      <c r="A178" s="15"/>
      <c r="B178" s="15"/>
    </row>
    <row r="179" spans="1:2" x14ac:dyDescent="0.2">
      <c r="A179" s="15"/>
      <c r="B179" s="15"/>
    </row>
    <row r="180" spans="1:2" x14ac:dyDescent="0.2">
      <c r="A180" s="15"/>
      <c r="B180" s="15"/>
    </row>
    <row r="181" spans="1:2" x14ac:dyDescent="0.2">
      <c r="A181" s="15"/>
      <c r="B181" s="15"/>
    </row>
    <row r="182" spans="1:2" x14ac:dyDescent="0.2">
      <c r="A182" s="15"/>
      <c r="B182" s="15"/>
    </row>
    <row r="183" spans="1:2" x14ac:dyDescent="0.2">
      <c r="A183" s="15"/>
      <c r="B183" s="15"/>
    </row>
    <row r="184" spans="1:2" x14ac:dyDescent="0.2">
      <c r="A184" s="15"/>
      <c r="B184" s="15"/>
    </row>
    <row r="185" spans="1:2" x14ac:dyDescent="0.2">
      <c r="A185" s="15"/>
      <c r="B185" s="15"/>
    </row>
    <row r="186" spans="1:2" x14ac:dyDescent="0.2">
      <c r="A186" s="15"/>
      <c r="B186" s="15"/>
    </row>
    <row r="187" spans="1:2" x14ac:dyDescent="0.2">
      <c r="A187" s="15"/>
      <c r="B187" s="15"/>
    </row>
    <row r="188" spans="1:2" x14ac:dyDescent="0.2">
      <c r="A188" s="15"/>
      <c r="B188" s="15"/>
    </row>
    <row r="189" spans="1:2" x14ac:dyDescent="0.2">
      <c r="A189" s="15"/>
      <c r="B189" s="15"/>
    </row>
    <row r="190" spans="1:2" x14ac:dyDescent="0.2">
      <c r="A190" s="15"/>
      <c r="B190" s="15"/>
    </row>
    <row r="191" spans="1:2" x14ac:dyDescent="0.2">
      <c r="A191" s="15"/>
      <c r="B191" s="15"/>
    </row>
    <row r="192" spans="1:2" x14ac:dyDescent="0.2">
      <c r="A192" s="15"/>
      <c r="B192" s="15"/>
    </row>
    <row r="193" spans="1:2" x14ac:dyDescent="0.2">
      <c r="A193" s="15"/>
      <c r="B193" s="15"/>
    </row>
    <row r="194" spans="1:2" x14ac:dyDescent="0.2">
      <c r="A194" s="15"/>
      <c r="B194" s="15"/>
    </row>
    <row r="195" spans="1:2" x14ac:dyDescent="0.2">
      <c r="A195" s="15"/>
      <c r="B195" s="15"/>
    </row>
    <row r="196" spans="1:2" x14ac:dyDescent="0.2">
      <c r="A196" s="15"/>
      <c r="B196" s="15"/>
    </row>
    <row r="197" spans="1:2" x14ac:dyDescent="0.2">
      <c r="A197" s="15"/>
      <c r="B197" s="15"/>
    </row>
    <row r="198" spans="1:2" x14ac:dyDescent="0.2">
      <c r="A198" s="15"/>
      <c r="B198" s="15"/>
    </row>
    <row r="199" spans="1:2" x14ac:dyDescent="0.2">
      <c r="A199" s="15"/>
      <c r="B199" s="15"/>
    </row>
    <row r="200" spans="1:2" x14ac:dyDescent="0.2">
      <c r="A200" s="15"/>
      <c r="B200" s="15"/>
    </row>
    <row r="201" spans="1:2" x14ac:dyDescent="0.2">
      <c r="A201" s="15"/>
      <c r="B201" s="15"/>
    </row>
    <row r="202" spans="1:2" x14ac:dyDescent="0.2">
      <c r="A202" s="15"/>
      <c r="B202" s="15"/>
    </row>
    <row r="203" spans="1:2" x14ac:dyDescent="0.2">
      <c r="A203" s="15"/>
      <c r="B203" s="15"/>
    </row>
    <row r="204" spans="1:2" x14ac:dyDescent="0.2">
      <c r="A204" s="15"/>
      <c r="B204" s="15"/>
    </row>
    <row r="205" spans="1:2" x14ac:dyDescent="0.2">
      <c r="A205" s="15"/>
      <c r="B205" s="15"/>
    </row>
    <row r="206" spans="1:2" x14ac:dyDescent="0.2">
      <c r="A206" s="15"/>
      <c r="B206" s="15"/>
    </row>
    <row r="207" spans="1:2" x14ac:dyDescent="0.2">
      <c r="A207" s="15"/>
      <c r="B207" s="15"/>
    </row>
    <row r="208" spans="1:2" x14ac:dyDescent="0.2">
      <c r="A208" s="15"/>
      <c r="B208" s="15"/>
    </row>
    <row r="209" spans="1:2" x14ac:dyDescent="0.2">
      <c r="A209" s="15"/>
      <c r="B209" s="15"/>
    </row>
    <row r="210" spans="1:2" x14ac:dyDescent="0.2">
      <c r="A210" s="15"/>
      <c r="B210" s="15"/>
    </row>
    <row r="211" spans="1:2" x14ac:dyDescent="0.2">
      <c r="A211" s="15"/>
      <c r="B211" s="15"/>
    </row>
    <row r="212" spans="1:2" x14ac:dyDescent="0.2">
      <c r="A212" s="15"/>
      <c r="B212" s="15"/>
    </row>
    <row r="213" spans="1:2" x14ac:dyDescent="0.2">
      <c r="A213" s="15"/>
      <c r="B213" s="15"/>
    </row>
    <row r="214" spans="1:2" x14ac:dyDescent="0.2">
      <c r="A214" s="15"/>
      <c r="B214" s="15"/>
    </row>
    <row r="215" spans="1:2" x14ac:dyDescent="0.2">
      <c r="A215" s="15"/>
      <c r="B215" s="15"/>
    </row>
    <row r="216" spans="1:2" x14ac:dyDescent="0.2">
      <c r="A216" s="15"/>
      <c r="B216" s="15"/>
    </row>
    <row r="217" spans="1:2" x14ac:dyDescent="0.2">
      <c r="A217" s="15"/>
      <c r="B217" s="15"/>
    </row>
    <row r="218" spans="1:2" x14ac:dyDescent="0.2">
      <c r="A218" s="15"/>
      <c r="B218" s="15"/>
    </row>
    <row r="219" spans="1:2" x14ac:dyDescent="0.2">
      <c r="A219" s="15"/>
      <c r="B219" s="15"/>
    </row>
    <row r="220" spans="1:2" x14ac:dyDescent="0.2">
      <c r="A220" s="15"/>
      <c r="B220" s="15"/>
    </row>
    <row r="221" spans="1:2" x14ac:dyDescent="0.2">
      <c r="A221" s="15"/>
      <c r="B221" s="15"/>
    </row>
    <row r="222" spans="1:2" x14ac:dyDescent="0.2">
      <c r="A222" s="15"/>
      <c r="B222" s="15"/>
    </row>
    <row r="223" spans="1:2" x14ac:dyDescent="0.2">
      <c r="A223" s="15"/>
      <c r="B223" s="15"/>
    </row>
    <row r="224" spans="1:2" x14ac:dyDescent="0.2">
      <c r="A224" s="15"/>
      <c r="B224" s="15"/>
    </row>
    <row r="225" spans="1:2" x14ac:dyDescent="0.2">
      <c r="A225" s="15"/>
      <c r="B225" s="15"/>
    </row>
    <row r="226" spans="1:2" x14ac:dyDescent="0.2">
      <c r="A226" s="15"/>
      <c r="B226" s="15"/>
    </row>
    <row r="227" spans="1:2" x14ac:dyDescent="0.2">
      <c r="A227" s="15"/>
      <c r="B227" s="15"/>
    </row>
    <row r="228" spans="1:2" x14ac:dyDescent="0.2">
      <c r="A228" s="15"/>
      <c r="B228" s="15"/>
    </row>
    <row r="229" spans="1:2" x14ac:dyDescent="0.2">
      <c r="A229" s="15"/>
      <c r="B229" s="15"/>
    </row>
    <row r="230" spans="1:2" x14ac:dyDescent="0.2">
      <c r="A230" s="15"/>
      <c r="B230" s="15"/>
    </row>
    <row r="231" spans="1:2" x14ac:dyDescent="0.2">
      <c r="A231" s="15"/>
      <c r="B231" s="15"/>
    </row>
    <row r="232" spans="1:2" x14ac:dyDescent="0.2">
      <c r="A232" s="15"/>
      <c r="B232" s="15"/>
    </row>
    <row r="233" spans="1:2" x14ac:dyDescent="0.2">
      <c r="A233" s="15"/>
      <c r="B233" s="15"/>
    </row>
    <row r="234" spans="1:2" x14ac:dyDescent="0.2">
      <c r="A234" s="15"/>
      <c r="B234" s="15"/>
    </row>
    <row r="235" spans="1:2" x14ac:dyDescent="0.2">
      <c r="A235" s="15"/>
      <c r="B235" s="15"/>
    </row>
    <row r="236" spans="1:2" x14ac:dyDescent="0.2">
      <c r="A236" s="15"/>
      <c r="B236" s="15"/>
    </row>
    <row r="237" spans="1:2" x14ac:dyDescent="0.2">
      <c r="A237" s="15"/>
      <c r="B237" s="15"/>
    </row>
    <row r="238" spans="1:2" x14ac:dyDescent="0.2">
      <c r="A238" s="15"/>
      <c r="B238" s="15"/>
    </row>
    <row r="239" spans="1:2" x14ac:dyDescent="0.2">
      <c r="A239" s="15"/>
      <c r="B239" s="15"/>
    </row>
    <row r="240" spans="1:2" x14ac:dyDescent="0.2">
      <c r="A240" s="15"/>
      <c r="B240" s="15"/>
    </row>
    <row r="241" spans="1:2" x14ac:dyDescent="0.2">
      <c r="A241" s="15"/>
      <c r="B241" s="15"/>
    </row>
    <row r="242" spans="1:2" x14ac:dyDescent="0.2">
      <c r="A242" s="15"/>
      <c r="B242" s="15"/>
    </row>
    <row r="243" spans="1:2" x14ac:dyDescent="0.2">
      <c r="A243" s="15"/>
      <c r="B243" s="15"/>
    </row>
    <row r="244" spans="1:2" x14ac:dyDescent="0.2">
      <c r="A244" s="15"/>
      <c r="B244" s="15"/>
    </row>
    <row r="245" spans="1:2" x14ac:dyDescent="0.2">
      <c r="A245" s="15"/>
      <c r="B245" s="15"/>
    </row>
    <row r="246" spans="1:2" x14ac:dyDescent="0.2">
      <c r="A246" s="15"/>
      <c r="B246" s="15"/>
    </row>
    <row r="247" spans="1:2" x14ac:dyDescent="0.2">
      <c r="A247" s="15"/>
      <c r="B247" s="15"/>
    </row>
    <row r="248" spans="1:2" x14ac:dyDescent="0.2">
      <c r="A248" s="15"/>
      <c r="B248" s="15"/>
    </row>
    <row r="249" spans="1:2" x14ac:dyDescent="0.2">
      <c r="A249" s="15"/>
      <c r="B249" s="15"/>
    </row>
    <row r="250" spans="1:2" x14ac:dyDescent="0.2">
      <c r="A250" s="15"/>
      <c r="B250" s="15"/>
    </row>
    <row r="251" spans="1:2" x14ac:dyDescent="0.2">
      <c r="A251" s="15"/>
      <c r="B251" s="15"/>
    </row>
    <row r="252" spans="1:2" x14ac:dyDescent="0.2">
      <c r="A252" s="15"/>
      <c r="B252" s="15"/>
    </row>
    <row r="253" spans="1:2" x14ac:dyDescent="0.2">
      <c r="A253" s="15"/>
      <c r="B253" s="15"/>
    </row>
    <row r="254" spans="1:2" x14ac:dyDescent="0.2">
      <c r="A254" s="15"/>
      <c r="B254" s="15"/>
    </row>
    <row r="255" spans="1:2" x14ac:dyDescent="0.2">
      <c r="A255" s="15"/>
      <c r="B255" s="15"/>
    </row>
    <row r="256" spans="1:2" x14ac:dyDescent="0.2">
      <c r="A256" s="15"/>
      <c r="B256" s="15"/>
    </row>
    <row r="257" spans="1:2" x14ac:dyDescent="0.2">
      <c r="A257" s="15"/>
      <c r="B257" s="15"/>
    </row>
    <row r="258" spans="1:2" x14ac:dyDescent="0.2">
      <c r="A258" s="15"/>
      <c r="B258" s="15"/>
    </row>
    <row r="259" spans="1:2" x14ac:dyDescent="0.2">
      <c r="A259" s="15"/>
      <c r="B259" s="15"/>
    </row>
    <row r="260" spans="1:2" x14ac:dyDescent="0.2">
      <c r="A260" s="15"/>
      <c r="B260" s="15"/>
    </row>
    <row r="261" spans="1:2" x14ac:dyDescent="0.2">
      <c r="A261" s="15"/>
      <c r="B261" s="15"/>
    </row>
    <row r="262" spans="1:2" x14ac:dyDescent="0.2">
      <c r="A262" s="15"/>
      <c r="B262" s="15"/>
    </row>
    <row r="263" spans="1:2" x14ac:dyDescent="0.2">
      <c r="A263" s="15"/>
      <c r="B263" s="15"/>
    </row>
    <row r="264" spans="1:2" x14ac:dyDescent="0.2">
      <c r="A264" s="15"/>
      <c r="B264" s="15"/>
    </row>
    <row r="265" spans="1:2" x14ac:dyDescent="0.2">
      <c r="A265" s="15"/>
      <c r="B265" s="15"/>
    </row>
    <row r="266" spans="1:2" x14ac:dyDescent="0.2">
      <c r="A266" s="15"/>
      <c r="B266" s="15"/>
    </row>
    <row r="267" spans="1:2" x14ac:dyDescent="0.2">
      <c r="A267" s="15"/>
      <c r="B267" s="15"/>
    </row>
    <row r="268" spans="1:2" x14ac:dyDescent="0.2">
      <c r="A268" s="15"/>
      <c r="B268" s="15"/>
    </row>
    <row r="269" spans="1:2" x14ac:dyDescent="0.2">
      <c r="A269" s="15"/>
      <c r="B269" s="15"/>
    </row>
    <row r="270" spans="1:2" x14ac:dyDescent="0.2">
      <c r="A270" s="15"/>
      <c r="B270" s="15"/>
    </row>
    <row r="271" spans="1:2" x14ac:dyDescent="0.2">
      <c r="A271" s="15"/>
      <c r="B271" s="15"/>
    </row>
    <row r="272" spans="1:2" x14ac:dyDescent="0.2">
      <c r="A272" s="15"/>
      <c r="B272" s="15"/>
    </row>
    <row r="273" spans="1:2" x14ac:dyDescent="0.2">
      <c r="A273" s="15"/>
      <c r="B273" s="15"/>
    </row>
    <row r="274" spans="1:2" x14ac:dyDescent="0.2">
      <c r="A274" s="15"/>
      <c r="B274" s="15"/>
    </row>
    <row r="275" spans="1:2" x14ac:dyDescent="0.2">
      <c r="A275" s="15"/>
      <c r="B275" s="15"/>
    </row>
    <row r="276" spans="1:2" x14ac:dyDescent="0.2">
      <c r="A276" s="15"/>
      <c r="B276" s="15"/>
    </row>
    <row r="277" spans="1:2" x14ac:dyDescent="0.2">
      <c r="A277" s="15"/>
      <c r="B277" s="15"/>
    </row>
    <row r="278" spans="1:2" x14ac:dyDescent="0.2">
      <c r="A278" s="15"/>
      <c r="B278" s="15"/>
    </row>
    <row r="279" spans="1:2" x14ac:dyDescent="0.2">
      <c r="A279" s="15"/>
      <c r="B279" s="15"/>
    </row>
    <row r="280" spans="1:2" x14ac:dyDescent="0.2">
      <c r="A280" s="15"/>
      <c r="B280" s="15"/>
    </row>
    <row r="281" spans="1:2" x14ac:dyDescent="0.2">
      <c r="A281" s="15"/>
      <c r="B281" s="15"/>
    </row>
    <row r="282" spans="1:2" x14ac:dyDescent="0.2">
      <c r="A282" s="15"/>
      <c r="B282" s="15"/>
    </row>
    <row r="283" spans="1:2" x14ac:dyDescent="0.2">
      <c r="A283" s="15"/>
      <c r="B283" s="15"/>
    </row>
    <row r="284" spans="1:2" x14ac:dyDescent="0.2">
      <c r="A284" s="15"/>
      <c r="B284" s="15"/>
    </row>
    <row r="285" spans="1:2" x14ac:dyDescent="0.2">
      <c r="A285" s="15"/>
      <c r="B285" s="15"/>
    </row>
    <row r="286" spans="1:2" x14ac:dyDescent="0.2">
      <c r="A286" s="15"/>
      <c r="B286" s="15"/>
    </row>
    <row r="287" spans="1:2" x14ac:dyDescent="0.2">
      <c r="A287" s="15"/>
      <c r="B287" s="15"/>
    </row>
    <row r="288" spans="1:2" x14ac:dyDescent="0.2">
      <c r="A288" s="15"/>
      <c r="B288" s="15"/>
    </row>
    <row r="289" spans="1:2" x14ac:dyDescent="0.2">
      <c r="A289" s="15"/>
      <c r="B289" s="15"/>
    </row>
    <row r="290" spans="1:2" x14ac:dyDescent="0.2">
      <c r="A290" s="15"/>
      <c r="B290" s="15"/>
    </row>
    <row r="291" spans="1:2" x14ac:dyDescent="0.2">
      <c r="A291" s="15"/>
      <c r="B291" s="15"/>
    </row>
    <row r="292" spans="1:2" x14ac:dyDescent="0.2">
      <c r="A292" s="15"/>
      <c r="B292" s="15"/>
    </row>
    <row r="293" spans="1:2" x14ac:dyDescent="0.2">
      <c r="A293" s="15"/>
      <c r="B293" s="15"/>
    </row>
    <row r="294" spans="1:2" x14ac:dyDescent="0.2">
      <c r="A294" s="15"/>
      <c r="B294" s="15"/>
    </row>
    <row r="295" spans="1:2" x14ac:dyDescent="0.2">
      <c r="A295" s="15"/>
      <c r="B295" s="15"/>
    </row>
    <row r="296" spans="1:2" x14ac:dyDescent="0.2">
      <c r="A296" s="15"/>
      <c r="B296" s="15"/>
    </row>
    <row r="297" spans="1:2" x14ac:dyDescent="0.2">
      <c r="A297" s="15"/>
      <c r="B297" s="15"/>
    </row>
    <row r="298" spans="1:2" x14ac:dyDescent="0.2">
      <c r="A298" s="15"/>
      <c r="B298" s="15"/>
    </row>
    <row r="299" spans="1:2" x14ac:dyDescent="0.2">
      <c r="A299" s="15"/>
      <c r="B299" s="15"/>
    </row>
    <row r="300" spans="1:2" x14ac:dyDescent="0.2">
      <c r="A300" s="15"/>
      <c r="B300" s="15"/>
    </row>
    <row r="301" spans="1:2" x14ac:dyDescent="0.2">
      <c r="A301" s="15"/>
      <c r="B301" s="15"/>
    </row>
    <row r="302" spans="1:2" x14ac:dyDescent="0.2">
      <c r="A302" s="15"/>
      <c r="B302" s="15"/>
    </row>
    <row r="303" spans="1:2" x14ac:dyDescent="0.2">
      <c r="A303" s="15"/>
      <c r="B303" s="15"/>
    </row>
    <row r="304" spans="1:2" x14ac:dyDescent="0.2">
      <c r="A304" s="15"/>
      <c r="B304" s="15"/>
    </row>
    <row r="305" spans="1:2" x14ac:dyDescent="0.2">
      <c r="A305" s="15"/>
      <c r="B305" s="15"/>
    </row>
    <row r="306" spans="1:2" x14ac:dyDescent="0.2">
      <c r="A306" s="15"/>
      <c r="B306" s="15"/>
    </row>
    <row r="307" spans="1:2" x14ac:dyDescent="0.2">
      <c r="A307" s="15"/>
      <c r="B307" s="15"/>
    </row>
    <row r="308" spans="1:2" x14ac:dyDescent="0.2">
      <c r="A308" s="15"/>
      <c r="B308" s="15"/>
    </row>
    <row r="309" spans="1:2" x14ac:dyDescent="0.2">
      <c r="A309" s="15"/>
      <c r="B309" s="15"/>
    </row>
    <row r="310" spans="1:2" x14ac:dyDescent="0.2">
      <c r="A310" s="15"/>
      <c r="B310" s="15"/>
    </row>
    <row r="311" spans="1:2" x14ac:dyDescent="0.2">
      <c r="A311" s="15"/>
      <c r="B311" s="15"/>
    </row>
    <row r="312" spans="1:2" x14ac:dyDescent="0.2">
      <c r="A312" s="15"/>
      <c r="B312" s="15"/>
    </row>
    <row r="313" spans="1:2" x14ac:dyDescent="0.2">
      <c r="A313" s="15"/>
      <c r="B313" s="15"/>
    </row>
    <row r="314" spans="1:2" x14ac:dyDescent="0.2">
      <c r="A314" s="15"/>
      <c r="B314" s="15"/>
    </row>
    <row r="315" spans="1:2" x14ac:dyDescent="0.2">
      <c r="A315" s="15"/>
      <c r="B315" s="15"/>
    </row>
    <row r="316" spans="1:2" x14ac:dyDescent="0.2">
      <c r="A316" s="15"/>
      <c r="B316" s="15"/>
    </row>
    <row r="317" spans="1:2" x14ac:dyDescent="0.2">
      <c r="A317" s="15"/>
      <c r="B317" s="15"/>
    </row>
    <row r="318" spans="1:2" x14ac:dyDescent="0.2">
      <c r="A318" s="15"/>
      <c r="B318" s="15"/>
    </row>
    <row r="319" spans="1:2" x14ac:dyDescent="0.2">
      <c r="A319" s="15"/>
      <c r="B319" s="15"/>
    </row>
    <row r="320" spans="1:2" x14ac:dyDescent="0.2">
      <c r="A320" s="15"/>
      <c r="B320" s="15"/>
    </row>
    <row r="321" spans="1:2" x14ac:dyDescent="0.2">
      <c r="A321" s="15"/>
      <c r="B321" s="15"/>
    </row>
    <row r="322" spans="1:2" x14ac:dyDescent="0.2">
      <c r="A322" s="15"/>
      <c r="B322" s="15"/>
    </row>
    <row r="323" spans="1:2" x14ac:dyDescent="0.2">
      <c r="A323" s="15"/>
      <c r="B323" s="15"/>
    </row>
    <row r="324" spans="1:2" x14ac:dyDescent="0.2">
      <c r="A324" s="15"/>
      <c r="B324" s="15"/>
    </row>
    <row r="325" spans="1:2" x14ac:dyDescent="0.2">
      <c r="A325" s="15"/>
      <c r="B325" s="15"/>
    </row>
    <row r="326" spans="1:2" x14ac:dyDescent="0.2">
      <c r="A326" s="15"/>
      <c r="B326" s="15"/>
    </row>
    <row r="327" spans="1:2" x14ac:dyDescent="0.2">
      <c r="A327" s="15"/>
      <c r="B327" s="15"/>
    </row>
    <row r="328" spans="1:2" x14ac:dyDescent="0.2">
      <c r="A328" s="15"/>
      <c r="B328" s="15"/>
    </row>
    <row r="329" spans="1:2" x14ac:dyDescent="0.2">
      <c r="A329" s="15"/>
      <c r="B329" s="15"/>
    </row>
    <row r="330" spans="1:2" x14ac:dyDescent="0.2">
      <c r="A330" s="15"/>
      <c r="B330" s="15"/>
    </row>
    <row r="331" spans="1:2" x14ac:dyDescent="0.2">
      <c r="A331" s="15"/>
      <c r="B331" s="15"/>
    </row>
    <row r="332" spans="1:2" x14ac:dyDescent="0.2">
      <c r="A332" s="15"/>
      <c r="B332" s="15"/>
    </row>
    <row r="333" spans="1:2" x14ac:dyDescent="0.2">
      <c r="A333" s="15"/>
      <c r="B333" s="15"/>
    </row>
    <row r="334" spans="1:2" x14ac:dyDescent="0.2">
      <c r="A334" s="15"/>
      <c r="B334" s="15"/>
    </row>
    <row r="335" spans="1:2" x14ac:dyDescent="0.2">
      <c r="A335" s="15"/>
      <c r="B335" s="15"/>
    </row>
    <row r="336" spans="1:2" x14ac:dyDescent="0.2">
      <c r="A336" s="15"/>
      <c r="B336" s="15"/>
    </row>
    <row r="337" spans="1:2" x14ac:dyDescent="0.2">
      <c r="A337" s="15"/>
      <c r="B337" s="15"/>
    </row>
    <row r="338" spans="1:2" x14ac:dyDescent="0.2">
      <c r="A338" s="15"/>
      <c r="B338" s="15"/>
    </row>
    <row r="339" spans="1:2" x14ac:dyDescent="0.2">
      <c r="A339" s="15"/>
      <c r="B339" s="15"/>
    </row>
    <row r="340" spans="1:2" x14ac:dyDescent="0.2">
      <c r="A340" s="15"/>
      <c r="B340" s="15"/>
    </row>
    <row r="341" spans="1:2" x14ac:dyDescent="0.2">
      <c r="A341" s="15"/>
      <c r="B341" s="15"/>
    </row>
    <row r="342" spans="1:2" x14ac:dyDescent="0.2">
      <c r="A342" s="15"/>
      <c r="B342" s="15"/>
    </row>
    <row r="343" spans="1:2" x14ac:dyDescent="0.2">
      <c r="A343" s="15"/>
      <c r="B343" s="15"/>
    </row>
    <row r="344" spans="1:2" x14ac:dyDescent="0.2">
      <c r="A344" s="15"/>
      <c r="B344" s="15"/>
    </row>
    <row r="345" spans="1:2" x14ac:dyDescent="0.2">
      <c r="A345" s="15"/>
      <c r="B345" s="15"/>
    </row>
    <row r="346" spans="1:2" x14ac:dyDescent="0.2">
      <c r="A346" s="15"/>
      <c r="B346" s="15"/>
    </row>
    <row r="347" spans="1:2" x14ac:dyDescent="0.2">
      <c r="A347" s="15"/>
      <c r="B347" s="15"/>
    </row>
    <row r="348" spans="1:2" x14ac:dyDescent="0.2">
      <c r="A348" s="15"/>
      <c r="B348" s="15"/>
    </row>
    <row r="349" spans="1:2" x14ac:dyDescent="0.2">
      <c r="A349" s="15"/>
      <c r="B349" s="15"/>
    </row>
    <row r="350" spans="1:2" x14ac:dyDescent="0.2">
      <c r="A350" s="15"/>
      <c r="B350" s="15"/>
    </row>
    <row r="351" spans="1:2" x14ac:dyDescent="0.2">
      <c r="A351" s="15"/>
      <c r="B351" s="15"/>
    </row>
    <row r="352" spans="1:2" x14ac:dyDescent="0.2">
      <c r="A352" s="15"/>
      <c r="B352" s="15"/>
    </row>
    <row r="353" spans="1:2" x14ac:dyDescent="0.2">
      <c r="A353" s="15"/>
      <c r="B353" s="15"/>
    </row>
    <row r="354" spans="1:2" x14ac:dyDescent="0.2">
      <c r="A354" s="15"/>
      <c r="B354" s="15"/>
    </row>
    <row r="355" spans="1:2" x14ac:dyDescent="0.2">
      <c r="A355" s="15"/>
      <c r="B355" s="15"/>
    </row>
    <row r="356" spans="1:2" x14ac:dyDescent="0.2">
      <c r="A356" s="15"/>
      <c r="B356" s="15"/>
    </row>
    <row r="357" spans="1:2" x14ac:dyDescent="0.2">
      <c r="A357" s="15"/>
      <c r="B357" s="15"/>
    </row>
    <row r="358" spans="1:2" x14ac:dyDescent="0.2">
      <c r="A358" s="15"/>
      <c r="B358" s="15"/>
    </row>
    <row r="359" spans="1:2" x14ac:dyDescent="0.2">
      <c r="A359" s="15"/>
      <c r="B359" s="15"/>
    </row>
    <row r="360" spans="1:2" x14ac:dyDescent="0.2">
      <c r="A360" s="15"/>
      <c r="B360" s="15"/>
    </row>
    <row r="361" spans="1:2" x14ac:dyDescent="0.2">
      <c r="A361" s="15"/>
      <c r="B361" s="15"/>
    </row>
    <row r="362" spans="1:2" x14ac:dyDescent="0.2">
      <c r="A362" s="15"/>
      <c r="B362" s="15"/>
    </row>
    <row r="363" spans="1:2" x14ac:dyDescent="0.2">
      <c r="A363" s="15"/>
      <c r="B363" s="15"/>
    </row>
    <row r="364" spans="1:2" x14ac:dyDescent="0.2">
      <c r="A364" s="15"/>
      <c r="B364" s="15"/>
    </row>
    <row r="365" spans="1:2" x14ac:dyDescent="0.2">
      <c r="A365" s="15"/>
      <c r="B365" s="15"/>
    </row>
    <row r="366" spans="1:2" x14ac:dyDescent="0.2">
      <c r="A366" s="15"/>
      <c r="B366" s="15"/>
    </row>
    <row r="367" spans="1:2" x14ac:dyDescent="0.2">
      <c r="A367" s="15"/>
      <c r="B367" s="15"/>
    </row>
    <row r="368" spans="1:2" x14ac:dyDescent="0.2">
      <c r="A368" s="15"/>
      <c r="B368" s="15"/>
    </row>
    <row r="369" spans="1:2" x14ac:dyDescent="0.2">
      <c r="A369" s="15"/>
      <c r="B369" s="15"/>
    </row>
    <row r="370" spans="1:2" x14ac:dyDescent="0.2">
      <c r="A370" s="15"/>
      <c r="B370" s="15"/>
    </row>
    <row r="371" spans="1:2" x14ac:dyDescent="0.2">
      <c r="A371" s="15"/>
      <c r="B371" s="15"/>
    </row>
    <row r="372" spans="1:2" x14ac:dyDescent="0.2">
      <c r="A372" s="15"/>
      <c r="B372" s="15"/>
    </row>
    <row r="373" spans="1:2" x14ac:dyDescent="0.2">
      <c r="A373" s="15"/>
      <c r="B373" s="15"/>
    </row>
    <row r="374" spans="1:2" x14ac:dyDescent="0.2">
      <c r="A374" s="15"/>
      <c r="B374" s="15"/>
    </row>
    <row r="375" spans="1:2" x14ac:dyDescent="0.2">
      <c r="A375" s="15"/>
      <c r="B375" s="15"/>
    </row>
    <row r="376" spans="1:2" x14ac:dyDescent="0.2">
      <c r="A376" s="15"/>
      <c r="B376" s="15"/>
    </row>
    <row r="377" spans="1:2" x14ac:dyDescent="0.2">
      <c r="A377" s="15"/>
      <c r="B377" s="15"/>
    </row>
    <row r="378" spans="1:2" x14ac:dyDescent="0.2">
      <c r="A378" s="15"/>
      <c r="B378" s="15"/>
    </row>
    <row r="379" spans="1:2" x14ac:dyDescent="0.2">
      <c r="A379" s="15"/>
      <c r="B379" s="15"/>
    </row>
    <row r="380" spans="1:2" x14ac:dyDescent="0.2">
      <c r="A380" s="15"/>
      <c r="B380" s="15"/>
    </row>
    <row r="381" spans="1:2" x14ac:dyDescent="0.2">
      <c r="A381" s="15"/>
      <c r="B381" s="15"/>
    </row>
    <row r="382" spans="1:2" x14ac:dyDescent="0.2">
      <c r="A382" s="15"/>
      <c r="B382" s="15"/>
    </row>
    <row r="383" spans="1:2" x14ac:dyDescent="0.2">
      <c r="A383" s="15"/>
      <c r="B383" s="15"/>
    </row>
    <row r="384" spans="1:2" x14ac:dyDescent="0.2">
      <c r="A384" s="15"/>
      <c r="B384" s="15"/>
    </row>
    <row r="385" spans="1:2" x14ac:dyDescent="0.2">
      <c r="A385" s="15"/>
      <c r="B385" s="15"/>
    </row>
    <row r="386" spans="1:2" x14ac:dyDescent="0.2">
      <c r="A386" s="15"/>
      <c r="B386" s="15"/>
    </row>
    <row r="387" spans="1:2" x14ac:dyDescent="0.2">
      <c r="A387" s="15"/>
      <c r="B387" s="15"/>
    </row>
    <row r="388" spans="1:2" x14ac:dyDescent="0.2">
      <c r="A388" s="15"/>
      <c r="B388" s="15"/>
    </row>
    <row r="389" spans="1:2" x14ac:dyDescent="0.2">
      <c r="A389" s="15"/>
      <c r="B389" s="15"/>
    </row>
    <row r="390" spans="1:2" x14ac:dyDescent="0.2">
      <c r="A390" s="15"/>
      <c r="B390" s="15"/>
    </row>
    <row r="391" spans="1:2" x14ac:dyDescent="0.2">
      <c r="A391" s="15"/>
      <c r="B391" s="15"/>
    </row>
    <row r="392" spans="1:2" x14ac:dyDescent="0.2">
      <c r="A392" s="15"/>
      <c r="B392" s="15"/>
    </row>
    <row r="393" spans="1:2" x14ac:dyDescent="0.2">
      <c r="A393" s="15"/>
      <c r="B393" s="15"/>
    </row>
    <row r="394" spans="1:2" x14ac:dyDescent="0.2">
      <c r="A394" s="15"/>
      <c r="B394" s="15"/>
    </row>
    <row r="395" spans="1:2" x14ac:dyDescent="0.2">
      <c r="A395" s="15"/>
      <c r="B395" s="15"/>
    </row>
    <row r="396" spans="1:2" x14ac:dyDescent="0.2">
      <c r="A396" s="15"/>
      <c r="B396" s="15"/>
    </row>
    <row r="397" spans="1:2" x14ac:dyDescent="0.2">
      <c r="A397" s="15"/>
      <c r="B397" s="15"/>
    </row>
    <row r="398" spans="1:2" x14ac:dyDescent="0.2">
      <c r="A398" s="15"/>
      <c r="B398" s="15"/>
    </row>
    <row r="399" spans="1:2" x14ac:dyDescent="0.2">
      <c r="A399" s="15"/>
      <c r="B399" s="15"/>
    </row>
    <row r="400" spans="1:2" x14ac:dyDescent="0.2">
      <c r="A400" s="15"/>
      <c r="B400" s="15"/>
    </row>
    <row r="401" spans="1:2" x14ac:dyDescent="0.2">
      <c r="A401" s="15"/>
      <c r="B401" s="15"/>
    </row>
    <row r="402" spans="1:2" x14ac:dyDescent="0.2">
      <c r="A402" s="15"/>
      <c r="B402" s="15"/>
    </row>
    <row r="403" spans="1:2" x14ac:dyDescent="0.2">
      <c r="A403" s="15"/>
      <c r="B403" s="15"/>
    </row>
    <row r="404" spans="1:2" x14ac:dyDescent="0.2">
      <c r="A404" s="15"/>
      <c r="B404" s="15"/>
    </row>
    <row r="405" spans="1:2" x14ac:dyDescent="0.2">
      <c r="A405" s="15"/>
      <c r="B405" s="15"/>
    </row>
    <row r="406" spans="1:2" x14ac:dyDescent="0.2">
      <c r="A406" s="15"/>
      <c r="B406" s="15"/>
    </row>
    <row r="407" spans="1:2" x14ac:dyDescent="0.2">
      <c r="A407" s="15"/>
      <c r="B407" s="15"/>
    </row>
    <row r="408" spans="1:2" x14ac:dyDescent="0.2">
      <c r="A408" s="15"/>
      <c r="B408" s="15"/>
    </row>
    <row r="409" spans="1:2" x14ac:dyDescent="0.2">
      <c r="A409" s="15"/>
      <c r="B409" s="15"/>
    </row>
    <row r="410" spans="1:2" x14ac:dyDescent="0.2">
      <c r="A410" s="15"/>
      <c r="B410" s="15"/>
    </row>
    <row r="411" spans="1:2" x14ac:dyDescent="0.2">
      <c r="A411" s="15"/>
      <c r="B411" s="15"/>
    </row>
    <row r="412" spans="1:2" x14ac:dyDescent="0.2">
      <c r="A412" s="15"/>
      <c r="B412" s="15"/>
    </row>
    <row r="413" spans="1:2" x14ac:dyDescent="0.2">
      <c r="A413" s="15"/>
      <c r="B413" s="15"/>
    </row>
    <row r="414" spans="1:2" x14ac:dyDescent="0.2">
      <c r="A414" s="15"/>
      <c r="B414" s="15"/>
    </row>
    <row r="415" spans="1:2" x14ac:dyDescent="0.2">
      <c r="A415" s="15"/>
      <c r="B415" s="15"/>
    </row>
    <row r="416" spans="1:2" x14ac:dyDescent="0.2">
      <c r="A416" s="15"/>
      <c r="B416" s="15"/>
    </row>
    <row r="417" spans="1:2" x14ac:dyDescent="0.2">
      <c r="A417" s="15"/>
      <c r="B417" s="15"/>
    </row>
    <row r="418" spans="1:2" x14ac:dyDescent="0.2">
      <c r="A418" s="15"/>
      <c r="B418" s="15"/>
    </row>
    <row r="419" spans="1:2" x14ac:dyDescent="0.2">
      <c r="A419" s="15"/>
      <c r="B419" s="15"/>
    </row>
    <row r="420" spans="1:2" x14ac:dyDescent="0.2">
      <c r="A420" s="15"/>
      <c r="B420" s="15"/>
    </row>
    <row r="421" spans="1:2" x14ac:dyDescent="0.2">
      <c r="A421" s="15"/>
      <c r="B421" s="15"/>
    </row>
    <row r="422" spans="1:2" x14ac:dyDescent="0.2">
      <c r="A422" s="15"/>
      <c r="B422" s="15"/>
    </row>
    <row r="423" spans="1:2" x14ac:dyDescent="0.2">
      <c r="A423" s="15"/>
      <c r="B423" s="15"/>
    </row>
    <row r="424" spans="1:2" x14ac:dyDescent="0.2">
      <c r="A424" s="15"/>
      <c r="B424" s="15"/>
    </row>
    <row r="425" spans="1:2" x14ac:dyDescent="0.2">
      <c r="A425" s="15"/>
      <c r="B425" s="15"/>
    </row>
    <row r="426" spans="1:2" x14ac:dyDescent="0.2">
      <c r="A426" s="15"/>
      <c r="B426" s="15"/>
    </row>
    <row r="427" spans="1:2" x14ac:dyDescent="0.2">
      <c r="A427" s="15"/>
      <c r="B427" s="15"/>
    </row>
    <row r="428" spans="1:2" x14ac:dyDescent="0.2">
      <c r="A428" s="15"/>
      <c r="B428" s="15"/>
    </row>
    <row r="429" spans="1:2" x14ac:dyDescent="0.2">
      <c r="A429" s="15"/>
      <c r="B429" s="15"/>
    </row>
    <row r="430" spans="1:2" x14ac:dyDescent="0.2">
      <c r="A430" s="15"/>
      <c r="B430" s="15"/>
    </row>
    <row r="431" spans="1:2" x14ac:dyDescent="0.2">
      <c r="A431" s="15"/>
      <c r="B431" s="15"/>
    </row>
    <row r="432" spans="1:2" x14ac:dyDescent="0.2">
      <c r="A432" s="15"/>
      <c r="B432" s="15"/>
    </row>
    <row r="433" spans="1:2" x14ac:dyDescent="0.2">
      <c r="A433" s="15"/>
      <c r="B433" s="15"/>
    </row>
    <row r="434" spans="1:2" x14ac:dyDescent="0.2">
      <c r="A434" s="15"/>
      <c r="B434" s="15"/>
    </row>
    <row r="435" spans="1:2" x14ac:dyDescent="0.2">
      <c r="A435" s="15"/>
      <c r="B435" s="15"/>
    </row>
    <row r="436" spans="1:2" x14ac:dyDescent="0.2">
      <c r="A436" s="15"/>
      <c r="B436" s="15"/>
    </row>
    <row r="437" spans="1:2" x14ac:dyDescent="0.2">
      <c r="A437" s="15"/>
      <c r="B437" s="15"/>
    </row>
    <row r="438" spans="1:2" x14ac:dyDescent="0.2">
      <c r="A438" s="15"/>
      <c r="B438" s="15"/>
    </row>
    <row r="439" spans="1:2" x14ac:dyDescent="0.2">
      <c r="A439" s="15"/>
      <c r="B439" s="15"/>
    </row>
    <row r="440" spans="1:2" x14ac:dyDescent="0.2">
      <c r="A440" s="15"/>
      <c r="B440" s="15"/>
    </row>
    <row r="441" spans="1:2" x14ac:dyDescent="0.2">
      <c r="A441" s="15"/>
      <c r="B441" s="15"/>
    </row>
    <row r="442" spans="1:2" x14ac:dyDescent="0.2">
      <c r="A442" s="15"/>
      <c r="B442" s="15"/>
    </row>
    <row r="443" spans="1:2" x14ac:dyDescent="0.2">
      <c r="A443" s="15"/>
      <c r="B443" s="15"/>
    </row>
    <row r="444" spans="1:2" x14ac:dyDescent="0.2">
      <c r="A444" s="15"/>
      <c r="B444" s="15"/>
    </row>
    <row r="445" spans="1:2" x14ac:dyDescent="0.2">
      <c r="A445" s="15"/>
      <c r="B445" s="15"/>
    </row>
    <row r="446" spans="1:2" x14ac:dyDescent="0.2">
      <c r="A446" s="15"/>
      <c r="B446" s="15"/>
    </row>
    <row r="447" spans="1:2" x14ac:dyDescent="0.2">
      <c r="A447" s="15"/>
      <c r="B447" s="15"/>
    </row>
    <row r="448" spans="1:2" x14ac:dyDescent="0.2">
      <c r="A448" s="15"/>
      <c r="B448" s="15"/>
    </row>
    <row r="449" spans="1:2" x14ac:dyDescent="0.2">
      <c r="A449" s="15"/>
      <c r="B449" s="15"/>
    </row>
    <row r="450" spans="1:2" x14ac:dyDescent="0.2">
      <c r="A450" s="15"/>
      <c r="B450" s="15"/>
    </row>
    <row r="451" spans="1:2" x14ac:dyDescent="0.2">
      <c r="A451" s="15"/>
      <c r="B451" s="15"/>
    </row>
    <row r="452" spans="1:2" x14ac:dyDescent="0.2">
      <c r="A452" s="15"/>
      <c r="B452" s="15"/>
    </row>
    <row r="453" spans="1:2" x14ac:dyDescent="0.2">
      <c r="A453" s="15"/>
      <c r="B453" s="15"/>
    </row>
    <row r="454" spans="1:2" x14ac:dyDescent="0.2">
      <c r="A454" s="15"/>
      <c r="B454" s="15"/>
    </row>
    <row r="455" spans="1:2" x14ac:dyDescent="0.2">
      <c r="A455" s="15"/>
      <c r="B455" s="15"/>
    </row>
    <row r="456" spans="1:2" x14ac:dyDescent="0.2">
      <c r="A456" s="15"/>
      <c r="B456" s="15"/>
    </row>
    <row r="457" spans="1:2" x14ac:dyDescent="0.2">
      <c r="A457" s="15"/>
      <c r="B457" s="15"/>
    </row>
    <row r="458" spans="1:2" x14ac:dyDescent="0.2">
      <c r="A458" s="15"/>
      <c r="B458" s="15"/>
    </row>
    <row r="459" spans="1:2" x14ac:dyDescent="0.2">
      <c r="A459" s="15"/>
      <c r="B459" s="15"/>
    </row>
    <row r="460" spans="1:2" x14ac:dyDescent="0.2">
      <c r="A460" s="15"/>
      <c r="B460" s="15"/>
    </row>
    <row r="461" spans="1:2" x14ac:dyDescent="0.2">
      <c r="A461" s="15"/>
      <c r="B461" s="15"/>
    </row>
    <row r="462" spans="1:2" x14ac:dyDescent="0.2">
      <c r="A462" s="15"/>
      <c r="B462" s="15"/>
    </row>
    <row r="463" spans="1:2" x14ac:dyDescent="0.2">
      <c r="A463" s="15"/>
      <c r="B463" s="15"/>
    </row>
    <row r="464" spans="1:2" x14ac:dyDescent="0.2">
      <c r="A464" s="15"/>
      <c r="B464" s="15"/>
    </row>
    <row r="465" spans="1:2" x14ac:dyDescent="0.2">
      <c r="A465" s="15"/>
      <c r="B465" s="15"/>
    </row>
    <row r="466" spans="1:2" x14ac:dyDescent="0.2">
      <c r="A466" s="15"/>
      <c r="B466" s="15"/>
    </row>
    <row r="467" spans="1:2" x14ac:dyDescent="0.2">
      <c r="A467" s="15"/>
      <c r="B467" s="15"/>
    </row>
    <row r="468" spans="1:2" x14ac:dyDescent="0.2">
      <c r="A468" s="15"/>
      <c r="B468" s="15"/>
    </row>
    <row r="469" spans="1:2" x14ac:dyDescent="0.2">
      <c r="A469" s="15"/>
      <c r="B469" s="15"/>
    </row>
    <row r="470" spans="1:2" x14ac:dyDescent="0.2">
      <c r="A470" s="15"/>
      <c r="B470" s="15"/>
    </row>
    <row r="471" spans="1:2" x14ac:dyDescent="0.2">
      <c r="A471" s="15"/>
      <c r="B471" s="15"/>
    </row>
    <row r="472" spans="1:2" x14ac:dyDescent="0.2">
      <c r="A472" s="15"/>
      <c r="B472" s="15"/>
    </row>
    <row r="473" spans="1:2" x14ac:dyDescent="0.2">
      <c r="A473" s="15"/>
      <c r="B473" s="15"/>
    </row>
    <row r="474" spans="1:2" x14ac:dyDescent="0.2">
      <c r="A474" s="15"/>
      <c r="B474" s="15"/>
    </row>
    <row r="475" spans="1:2" x14ac:dyDescent="0.2">
      <c r="A475" s="15"/>
      <c r="B475" s="15"/>
    </row>
    <row r="476" spans="1:2" x14ac:dyDescent="0.2">
      <c r="A476" s="15"/>
      <c r="B476" s="15"/>
    </row>
    <row r="477" spans="1:2" x14ac:dyDescent="0.2">
      <c r="A477" s="15"/>
      <c r="B477" s="15"/>
    </row>
    <row r="478" spans="1:2" x14ac:dyDescent="0.2">
      <c r="A478" s="15"/>
      <c r="B478" s="15"/>
    </row>
    <row r="479" spans="1:2" x14ac:dyDescent="0.2">
      <c r="A479" s="15"/>
      <c r="B479" s="15"/>
    </row>
    <row r="480" spans="1:2" x14ac:dyDescent="0.2">
      <c r="A480" s="15"/>
      <c r="B480" s="15"/>
    </row>
    <row r="481" spans="1:2" x14ac:dyDescent="0.2">
      <c r="A481" s="15"/>
      <c r="B481" s="15"/>
    </row>
    <row r="482" spans="1:2" x14ac:dyDescent="0.2">
      <c r="A482" s="15"/>
      <c r="B482" s="15"/>
    </row>
    <row r="483" spans="1:2" x14ac:dyDescent="0.2">
      <c r="A483" s="15"/>
      <c r="B483" s="15"/>
    </row>
    <row r="484" spans="1:2" x14ac:dyDescent="0.2">
      <c r="A484" s="15"/>
      <c r="B484" s="15"/>
    </row>
    <row r="485" spans="1:2" x14ac:dyDescent="0.2">
      <c r="A485" s="15"/>
      <c r="B485" s="15"/>
    </row>
    <row r="486" spans="1:2" x14ac:dyDescent="0.2">
      <c r="A486" s="15"/>
      <c r="B486" s="15"/>
    </row>
    <row r="487" spans="1:2" x14ac:dyDescent="0.2">
      <c r="A487" s="15"/>
      <c r="B487" s="15"/>
    </row>
    <row r="488" spans="1:2" x14ac:dyDescent="0.2">
      <c r="A488" s="15"/>
      <c r="B488" s="15"/>
    </row>
    <row r="489" spans="1:2" x14ac:dyDescent="0.2">
      <c r="A489" s="15"/>
      <c r="B489" s="15"/>
    </row>
    <row r="490" spans="1:2" x14ac:dyDescent="0.2">
      <c r="A490" s="15"/>
      <c r="B490" s="15"/>
    </row>
    <row r="491" spans="1:2" x14ac:dyDescent="0.2">
      <c r="A491" s="15"/>
      <c r="B491" s="15"/>
    </row>
    <row r="492" spans="1:2" x14ac:dyDescent="0.2">
      <c r="A492" s="15"/>
      <c r="B492" s="15"/>
    </row>
    <row r="493" spans="1:2" x14ac:dyDescent="0.2">
      <c r="A493" s="15"/>
      <c r="B493" s="15"/>
    </row>
    <row r="494" spans="1:2" x14ac:dyDescent="0.2">
      <c r="A494" s="15"/>
      <c r="B494" s="15"/>
    </row>
    <row r="495" spans="1:2" x14ac:dyDescent="0.2">
      <c r="A495" s="15"/>
      <c r="B495" s="15"/>
    </row>
    <row r="496" spans="1:2" x14ac:dyDescent="0.2">
      <c r="A496" s="15"/>
      <c r="B496" s="15"/>
    </row>
    <row r="497" spans="1:2" x14ac:dyDescent="0.2">
      <c r="A497" s="15"/>
      <c r="B497" s="15"/>
    </row>
    <row r="498" spans="1:2" x14ac:dyDescent="0.2">
      <c r="A498" s="15"/>
      <c r="B498" s="15"/>
    </row>
    <row r="499" spans="1:2" x14ac:dyDescent="0.2">
      <c r="A499" s="15"/>
      <c r="B499" s="15"/>
    </row>
    <row r="500" spans="1:2" x14ac:dyDescent="0.2">
      <c r="A500" s="15"/>
      <c r="B500" s="15"/>
    </row>
    <row r="501" spans="1:2" x14ac:dyDescent="0.2">
      <c r="A501" s="15"/>
      <c r="B501" s="15"/>
    </row>
    <row r="502" spans="1:2" x14ac:dyDescent="0.2">
      <c r="A502" s="15"/>
      <c r="B502" s="15"/>
    </row>
    <row r="503" spans="1:2" x14ac:dyDescent="0.2">
      <c r="A503" s="15"/>
      <c r="B503" s="15"/>
    </row>
    <row r="504" spans="1:2" x14ac:dyDescent="0.2">
      <c r="A504" s="15"/>
      <c r="B504" s="15"/>
    </row>
    <row r="505" spans="1:2" x14ac:dyDescent="0.2">
      <c r="A505" s="15"/>
      <c r="B505" s="15"/>
    </row>
    <row r="506" spans="1:2" x14ac:dyDescent="0.2">
      <c r="A506" s="15"/>
      <c r="B506" s="15"/>
    </row>
    <row r="507" spans="1:2" x14ac:dyDescent="0.2">
      <c r="A507" s="15"/>
      <c r="B507" s="15"/>
    </row>
    <row r="508" spans="1:2" x14ac:dyDescent="0.2">
      <c r="A508" s="15"/>
      <c r="B508" s="15"/>
    </row>
    <row r="509" spans="1:2" x14ac:dyDescent="0.2">
      <c r="A509" s="15"/>
      <c r="B509" s="15"/>
    </row>
    <row r="510" spans="1:2" x14ac:dyDescent="0.2">
      <c r="A510" s="15"/>
      <c r="B510" s="15"/>
    </row>
    <row r="511" spans="1:2" x14ac:dyDescent="0.2">
      <c r="A511" s="15"/>
      <c r="B511" s="15"/>
    </row>
    <row r="512" spans="1:2" x14ac:dyDescent="0.2">
      <c r="A512" s="15"/>
      <c r="B512" s="15"/>
    </row>
    <row r="513" spans="1:2" x14ac:dyDescent="0.2">
      <c r="A513" s="15"/>
      <c r="B513" s="15"/>
    </row>
    <row r="514" spans="1:2" x14ac:dyDescent="0.2">
      <c r="A514" s="15"/>
      <c r="B514" s="15"/>
    </row>
    <row r="515" spans="1:2" x14ac:dyDescent="0.2">
      <c r="A515" s="15"/>
      <c r="B515" s="15"/>
    </row>
    <row r="516" spans="1:2" x14ac:dyDescent="0.2">
      <c r="A516" s="15"/>
      <c r="B516" s="15"/>
    </row>
    <row r="517" spans="1:2" x14ac:dyDescent="0.2">
      <c r="A517" s="15"/>
      <c r="B517" s="15"/>
    </row>
    <row r="518" spans="1:2" x14ac:dyDescent="0.2">
      <c r="A518" s="15"/>
      <c r="B518" s="15"/>
    </row>
    <row r="519" spans="1:2" x14ac:dyDescent="0.2">
      <c r="A519" s="15"/>
      <c r="B519" s="15"/>
    </row>
    <row r="520" spans="1:2" x14ac:dyDescent="0.2">
      <c r="A520" s="15"/>
      <c r="B520" s="15"/>
    </row>
    <row r="521" spans="1:2" x14ac:dyDescent="0.2">
      <c r="A521" s="15"/>
      <c r="B521" s="15"/>
    </row>
    <row r="522" spans="1:2" x14ac:dyDescent="0.2">
      <c r="A522" s="15"/>
      <c r="B522" s="15"/>
    </row>
    <row r="523" spans="1:2" x14ac:dyDescent="0.2">
      <c r="A523" s="15"/>
      <c r="B523" s="15"/>
    </row>
    <row r="524" spans="1:2" x14ac:dyDescent="0.2">
      <c r="A524" s="15"/>
      <c r="B524" s="15"/>
    </row>
    <row r="525" spans="1:2" x14ac:dyDescent="0.2">
      <c r="A525" s="15"/>
      <c r="B525" s="15"/>
    </row>
    <row r="526" spans="1:2" x14ac:dyDescent="0.2">
      <c r="A526" s="15"/>
      <c r="B526" s="15"/>
    </row>
    <row r="527" spans="1:2" x14ac:dyDescent="0.2">
      <c r="A527" s="15"/>
      <c r="B527" s="15"/>
    </row>
    <row r="528" spans="1:2" x14ac:dyDescent="0.2">
      <c r="A528" s="15"/>
      <c r="B528" s="15"/>
    </row>
    <row r="529" spans="1:2" x14ac:dyDescent="0.2">
      <c r="A529" s="15"/>
      <c r="B529" s="15"/>
    </row>
    <row r="530" spans="1:2" x14ac:dyDescent="0.2">
      <c r="A530" s="15"/>
      <c r="B530" s="15"/>
    </row>
    <row r="531" spans="1:2" x14ac:dyDescent="0.2">
      <c r="A531" s="15"/>
      <c r="B531" s="15"/>
    </row>
    <row r="532" spans="1:2" x14ac:dyDescent="0.2">
      <c r="A532" s="15"/>
      <c r="B532" s="15"/>
    </row>
    <row r="533" spans="1:2" x14ac:dyDescent="0.2">
      <c r="A533" s="15"/>
      <c r="B533" s="15"/>
    </row>
    <row r="534" spans="1:2" x14ac:dyDescent="0.2">
      <c r="A534" s="15"/>
      <c r="B534" s="15"/>
    </row>
    <row r="535" spans="1:2" x14ac:dyDescent="0.2">
      <c r="A535" s="15"/>
      <c r="B535" s="15"/>
    </row>
    <row r="536" spans="1:2" x14ac:dyDescent="0.2">
      <c r="A536" s="15"/>
      <c r="B536" s="15"/>
    </row>
    <row r="537" spans="1:2" x14ac:dyDescent="0.2">
      <c r="A537" s="15"/>
      <c r="B537" s="15"/>
    </row>
    <row r="538" spans="1:2" x14ac:dyDescent="0.2">
      <c r="A538" s="15"/>
      <c r="B538" s="15"/>
    </row>
    <row r="539" spans="1:2" x14ac:dyDescent="0.2">
      <c r="A539" s="15"/>
      <c r="B539" s="15"/>
    </row>
    <row r="540" spans="1:2" x14ac:dyDescent="0.2">
      <c r="A540" s="15"/>
      <c r="B540" s="15"/>
    </row>
    <row r="541" spans="1:2" x14ac:dyDescent="0.2">
      <c r="A541" s="15"/>
      <c r="B541" s="15"/>
    </row>
    <row r="542" spans="1:2" x14ac:dyDescent="0.2">
      <c r="A542" s="15"/>
      <c r="B542" s="15"/>
    </row>
    <row r="543" spans="1:2" x14ac:dyDescent="0.2">
      <c r="A543" s="15"/>
      <c r="B543" s="15"/>
    </row>
    <row r="544" spans="1:2" x14ac:dyDescent="0.2">
      <c r="A544" s="15"/>
      <c r="B544" s="15"/>
    </row>
    <row r="545" spans="1:2" x14ac:dyDescent="0.2">
      <c r="A545" s="15"/>
      <c r="B545" s="15"/>
    </row>
    <row r="546" spans="1:2" x14ac:dyDescent="0.2">
      <c r="A546" s="15"/>
      <c r="B546" s="15"/>
    </row>
    <row r="547" spans="1:2" x14ac:dyDescent="0.2">
      <c r="A547" s="15"/>
      <c r="B547" s="15"/>
    </row>
    <row r="548" spans="1:2" x14ac:dyDescent="0.2">
      <c r="A548" s="15"/>
      <c r="B548" s="15"/>
    </row>
    <row r="549" spans="1:2" x14ac:dyDescent="0.2">
      <c r="A549" s="15"/>
      <c r="B549" s="15"/>
    </row>
    <row r="550" spans="1:2" x14ac:dyDescent="0.2">
      <c r="A550" s="15"/>
      <c r="B550" s="15"/>
    </row>
    <row r="551" spans="1:2" x14ac:dyDescent="0.2">
      <c r="A551" s="15"/>
      <c r="B551" s="15"/>
    </row>
    <row r="552" spans="1:2" x14ac:dyDescent="0.2">
      <c r="A552" s="15"/>
      <c r="B552" s="15"/>
    </row>
    <row r="553" spans="1:2" x14ac:dyDescent="0.2">
      <c r="A553" s="15"/>
      <c r="B553" s="15"/>
    </row>
    <row r="554" spans="1:2" x14ac:dyDescent="0.2">
      <c r="A554" s="15"/>
      <c r="B554" s="15"/>
    </row>
    <row r="555" spans="1:2" x14ac:dyDescent="0.2">
      <c r="A555" s="15"/>
      <c r="B555" s="15"/>
    </row>
    <row r="556" spans="1:2" x14ac:dyDescent="0.2">
      <c r="A556" s="15"/>
      <c r="B556" s="15"/>
    </row>
    <row r="557" spans="1:2" x14ac:dyDescent="0.2">
      <c r="A557" s="15"/>
      <c r="B557" s="15"/>
    </row>
    <row r="558" spans="1:2" x14ac:dyDescent="0.2">
      <c r="A558" s="15"/>
      <c r="B558" s="15"/>
    </row>
    <row r="559" spans="1:2" x14ac:dyDescent="0.2">
      <c r="A559" s="15"/>
      <c r="B559" s="15"/>
    </row>
    <row r="560" spans="1:2" x14ac:dyDescent="0.2">
      <c r="A560" s="15"/>
      <c r="B560" s="15"/>
    </row>
    <row r="561" spans="1:2" x14ac:dyDescent="0.2">
      <c r="A561" s="15"/>
      <c r="B561" s="15"/>
    </row>
    <row r="562" spans="1:2" x14ac:dyDescent="0.2">
      <c r="A562" s="15"/>
      <c r="B562" s="15"/>
    </row>
    <row r="563" spans="1:2" x14ac:dyDescent="0.2">
      <c r="A563" s="15"/>
      <c r="B563" s="15"/>
    </row>
    <row r="564" spans="1:2" x14ac:dyDescent="0.2">
      <c r="A564" s="15"/>
      <c r="B564" s="15"/>
    </row>
    <row r="565" spans="1:2" x14ac:dyDescent="0.2">
      <c r="A565" s="15"/>
      <c r="B565" s="15"/>
    </row>
    <row r="566" spans="1:2" x14ac:dyDescent="0.2">
      <c r="A566" s="15"/>
      <c r="B566" s="15"/>
    </row>
    <row r="567" spans="1:2" x14ac:dyDescent="0.2">
      <c r="A567" s="15"/>
      <c r="B567" s="15"/>
    </row>
    <row r="568" spans="1:2" x14ac:dyDescent="0.2">
      <c r="A568" s="15"/>
      <c r="B568" s="15"/>
    </row>
    <row r="569" spans="1:2" x14ac:dyDescent="0.2">
      <c r="A569" s="15"/>
      <c r="B569" s="15"/>
    </row>
    <row r="570" spans="1:2" x14ac:dyDescent="0.2">
      <c r="A570" s="15"/>
      <c r="B570" s="15"/>
    </row>
    <row r="571" spans="1:2" x14ac:dyDescent="0.2">
      <c r="A571" s="15"/>
      <c r="B571" s="15"/>
    </row>
    <row r="572" spans="1:2" x14ac:dyDescent="0.2">
      <c r="A572" s="15"/>
      <c r="B572" s="15"/>
    </row>
    <row r="573" spans="1:2" x14ac:dyDescent="0.2">
      <c r="A573" s="15"/>
      <c r="B573" s="15"/>
    </row>
    <row r="574" spans="1:2" x14ac:dyDescent="0.2">
      <c r="A574" s="15"/>
      <c r="B574" s="15"/>
    </row>
    <row r="575" spans="1:2" x14ac:dyDescent="0.2">
      <c r="A575" s="15"/>
      <c r="B575" s="15"/>
    </row>
    <row r="576" spans="1:2" x14ac:dyDescent="0.2">
      <c r="A576" s="15"/>
      <c r="B576" s="15"/>
    </row>
    <row r="577" spans="1:2" x14ac:dyDescent="0.2">
      <c r="A577" s="15"/>
      <c r="B577" s="15"/>
    </row>
    <row r="578" spans="1:2" x14ac:dyDescent="0.2">
      <c r="A578" s="15"/>
      <c r="B578" s="15"/>
    </row>
    <row r="579" spans="1:2" x14ac:dyDescent="0.2">
      <c r="A579" s="15"/>
      <c r="B579" s="15"/>
    </row>
    <row r="580" spans="1:2" x14ac:dyDescent="0.2">
      <c r="A580" s="15"/>
      <c r="B580" s="15"/>
    </row>
    <row r="581" spans="1:2" x14ac:dyDescent="0.2">
      <c r="A581" s="15"/>
      <c r="B581" s="15"/>
    </row>
    <row r="582" spans="1:2" x14ac:dyDescent="0.2">
      <c r="A582" s="15"/>
      <c r="B582" s="15"/>
    </row>
    <row r="583" spans="1:2" x14ac:dyDescent="0.2">
      <c r="A583" s="15"/>
      <c r="B583" s="15"/>
    </row>
    <row r="584" spans="1:2" x14ac:dyDescent="0.2">
      <c r="A584" s="15"/>
      <c r="B584" s="15"/>
    </row>
    <row r="585" spans="1:2" x14ac:dyDescent="0.2">
      <c r="A585" s="15"/>
      <c r="B585" s="15"/>
    </row>
    <row r="586" spans="1:2" x14ac:dyDescent="0.2">
      <c r="A586" s="15"/>
      <c r="B586" s="15"/>
    </row>
    <row r="587" spans="1:2" x14ac:dyDescent="0.2">
      <c r="A587" s="15"/>
      <c r="B587" s="15"/>
    </row>
    <row r="588" spans="1:2" x14ac:dyDescent="0.2">
      <c r="A588" s="15"/>
      <c r="B588" s="15"/>
    </row>
    <row r="589" spans="1:2" x14ac:dyDescent="0.2">
      <c r="A589" s="15"/>
      <c r="B589" s="15"/>
    </row>
    <row r="590" spans="1:2" x14ac:dyDescent="0.2">
      <c r="A590" s="15"/>
      <c r="B590" s="15"/>
    </row>
    <row r="591" spans="1:2" x14ac:dyDescent="0.2">
      <c r="A591" s="15"/>
      <c r="B591" s="15"/>
    </row>
    <row r="592" spans="1:2" x14ac:dyDescent="0.2">
      <c r="A592" s="15"/>
      <c r="B592" s="15"/>
    </row>
    <row r="593" spans="1:2" x14ac:dyDescent="0.2">
      <c r="A593" s="15"/>
      <c r="B593" s="15"/>
    </row>
    <row r="594" spans="1:2" x14ac:dyDescent="0.2">
      <c r="A594" s="15"/>
      <c r="B594" s="15"/>
    </row>
    <row r="595" spans="1:2" x14ac:dyDescent="0.2">
      <c r="A595" s="15"/>
      <c r="B595" s="15"/>
    </row>
    <row r="596" spans="1:2" x14ac:dyDescent="0.2">
      <c r="A596" s="15"/>
      <c r="B596" s="15"/>
    </row>
    <row r="597" spans="1:2" x14ac:dyDescent="0.2">
      <c r="A597" s="15"/>
      <c r="B597" s="15"/>
    </row>
    <row r="598" spans="1:2" x14ac:dyDescent="0.2">
      <c r="A598" s="15"/>
      <c r="B598" s="15"/>
    </row>
    <row r="599" spans="1:2" x14ac:dyDescent="0.2">
      <c r="A599" s="15"/>
      <c r="B599" s="15"/>
    </row>
    <row r="600" spans="1:2" x14ac:dyDescent="0.2">
      <c r="A600" s="15"/>
      <c r="B600" s="15"/>
    </row>
    <row r="601" spans="1:2" x14ac:dyDescent="0.2">
      <c r="A601" s="15"/>
      <c r="B601" s="15"/>
    </row>
    <row r="602" spans="1:2" x14ac:dyDescent="0.2">
      <c r="A602" s="15"/>
      <c r="B602" s="15"/>
    </row>
    <row r="603" spans="1:2" x14ac:dyDescent="0.2">
      <c r="A603" s="15"/>
      <c r="B603" s="15"/>
    </row>
    <row r="604" spans="1:2" x14ac:dyDescent="0.2">
      <c r="A604" s="15"/>
      <c r="B604" s="15"/>
    </row>
    <row r="605" spans="1:2" x14ac:dyDescent="0.2">
      <c r="A605" s="15"/>
      <c r="B605" s="15"/>
    </row>
    <row r="606" spans="1:2" x14ac:dyDescent="0.2">
      <c r="A606" s="15"/>
      <c r="B606" s="15"/>
    </row>
    <row r="607" spans="1:2" x14ac:dyDescent="0.2">
      <c r="A607" s="15"/>
      <c r="B607" s="15"/>
    </row>
    <row r="608" spans="1:2" x14ac:dyDescent="0.2">
      <c r="A608" s="15"/>
      <c r="B608" s="15"/>
    </row>
    <row r="609" spans="1:2" x14ac:dyDescent="0.2">
      <c r="A609" s="15"/>
      <c r="B609" s="15"/>
    </row>
    <row r="610" spans="1:2" x14ac:dyDescent="0.2">
      <c r="A610" s="15"/>
      <c r="B610" s="15"/>
    </row>
    <row r="611" spans="1:2" x14ac:dyDescent="0.2">
      <c r="A611" s="15"/>
      <c r="B611" s="15"/>
    </row>
    <row r="612" spans="1:2" x14ac:dyDescent="0.2">
      <c r="A612" s="15"/>
      <c r="B612" s="15"/>
    </row>
    <row r="613" spans="1:2" x14ac:dyDescent="0.2">
      <c r="A613" s="15"/>
      <c r="B613" s="15"/>
    </row>
    <row r="614" spans="1:2" x14ac:dyDescent="0.2">
      <c r="A614" s="15"/>
      <c r="B614" s="15"/>
    </row>
    <row r="615" spans="1:2" x14ac:dyDescent="0.2">
      <c r="A615" s="15"/>
      <c r="B615" s="15"/>
    </row>
    <row r="616" spans="1:2" x14ac:dyDescent="0.2">
      <c r="A616" s="15"/>
      <c r="B616" s="15"/>
    </row>
    <row r="617" spans="1:2" x14ac:dyDescent="0.2">
      <c r="A617" s="15"/>
      <c r="B617" s="15"/>
    </row>
    <row r="618" spans="1:2" x14ac:dyDescent="0.2">
      <c r="A618" s="15"/>
      <c r="B618" s="15"/>
    </row>
    <row r="619" spans="1:2" x14ac:dyDescent="0.2">
      <c r="A619" s="15"/>
      <c r="B619" s="15"/>
    </row>
    <row r="620" spans="1:2" x14ac:dyDescent="0.2">
      <c r="A620" s="15"/>
      <c r="B620" s="15"/>
    </row>
    <row r="621" spans="1:2" x14ac:dyDescent="0.2">
      <c r="A621" s="15"/>
      <c r="B621" s="15"/>
    </row>
    <row r="622" spans="1:2" x14ac:dyDescent="0.2">
      <c r="A622" s="15"/>
      <c r="B622" s="15"/>
    </row>
    <row r="623" spans="1:2" x14ac:dyDescent="0.2">
      <c r="A623" s="15"/>
      <c r="B623" s="15"/>
    </row>
    <row r="624" spans="1:2" x14ac:dyDescent="0.2">
      <c r="A624" s="15"/>
      <c r="B624" s="15"/>
    </row>
    <row r="625" spans="1:2" x14ac:dyDescent="0.2">
      <c r="A625" s="15"/>
      <c r="B625" s="15"/>
    </row>
    <row r="626" spans="1:2" x14ac:dyDescent="0.2">
      <c r="A626" s="15"/>
      <c r="B626" s="15"/>
    </row>
    <row r="627" spans="1:2" x14ac:dyDescent="0.2">
      <c r="A627" s="15"/>
      <c r="B627" s="15"/>
    </row>
    <row r="628" spans="1:2" x14ac:dyDescent="0.2">
      <c r="A628" s="15"/>
      <c r="B628" s="15"/>
    </row>
    <row r="629" spans="1:2" x14ac:dyDescent="0.2">
      <c r="A629" s="15"/>
      <c r="B629" s="15"/>
    </row>
    <row r="630" spans="1:2" x14ac:dyDescent="0.2">
      <c r="A630" s="15"/>
      <c r="B630" s="15"/>
    </row>
    <row r="631" spans="1:2" x14ac:dyDescent="0.2">
      <c r="A631" s="15"/>
      <c r="B631" s="15"/>
    </row>
    <row r="632" spans="1:2" x14ac:dyDescent="0.2">
      <c r="A632" s="15"/>
      <c r="B632" s="15"/>
    </row>
    <row r="633" spans="1:2" x14ac:dyDescent="0.2">
      <c r="A633" s="15"/>
      <c r="B633" s="15"/>
    </row>
    <row r="634" spans="1:2" x14ac:dyDescent="0.2">
      <c r="A634" s="15"/>
      <c r="B634" s="15"/>
    </row>
    <row r="635" spans="1:2" x14ac:dyDescent="0.2">
      <c r="A635" s="15"/>
      <c r="B635" s="15"/>
    </row>
    <row r="636" spans="1:2" x14ac:dyDescent="0.2">
      <c r="A636" s="15"/>
      <c r="B636" s="15"/>
    </row>
    <row r="637" spans="1:2" x14ac:dyDescent="0.2">
      <c r="A637" s="15"/>
      <c r="B637" s="15"/>
    </row>
    <row r="638" spans="1:2" x14ac:dyDescent="0.2">
      <c r="A638" s="15"/>
      <c r="B638" s="15"/>
    </row>
    <row r="639" spans="1:2" x14ac:dyDescent="0.2">
      <c r="A639" s="15"/>
      <c r="B639" s="15"/>
    </row>
    <row r="640" spans="1:2" x14ac:dyDescent="0.2">
      <c r="A640" s="15"/>
      <c r="B640" s="15"/>
    </row>
    <row r="641" spans="1:2" x14ac:dyDescent="0.2">
      <c r="A641" s="15"/>
      <c r="B641" s="15"/>
    </row>
    <row r="642" spans="1:2" x14ac:dyDescent="0.2">
      <c r="A642" s="15"/>
      <c r="B642" s="15"/>
    </row>
    <row r="643" spans="1:2" x14ac:dyDescent="0.2">
      <c r="A643" s="15"/>
      <c r="B643" s="15"/>
    </row>
    <row r="644" spans="1:2" x14ac:dyDescent="0.2">
      <c r="A644" s="15"/>
      <c r="B644" s="15"/>
    </row>
    <row r="645" spans="1:2" x14ac:dyDescent="0.2">
      <c r="A645" s="15"/>
      <c r="B645" s="15"/>
    </row>
    <row r="646" spans="1:2" x14ac:dyDescent="0.2">
      <c r="A646" s="15"/>
      <c r="B646" s="15"/>
    </row>
    <row r="647" spans="1:2" x14ac:dyDescent="0.2">
      <c r="A647" s="15"/>
      <c r="B647" s="15"/>
    </row>
    <row r="648" spans="1:2" x14ac:dyDescent="0.2">
      <c r="A648" s="15"/>
      <c r="B648" s="15"/>
    </row>
    <row r="649" spans="1:2" x14ac:dyDescent="0.2">
      <c r="A649" s="15"/>
      <c r="B649" s="15"/>
    </row>
    <row r="650" spans="1:2" x14ac:dyDescent="0.2">
      <c r="A650" s="15"/>
      <c r="B650" s="15"/>
    </row>
    <row r="651" spans="1:2" x14ac:dyDescent="0.2">
      <c r="A651" s="15"/>
      <c r="B651" s="15"/>
    </row>
    <row r="652" spans="1:2" x14ac:dyDescent="0.2">
      <c r="A652" s="15"/>
      <c r="B652" s="15"/>
    </row>
    <row r="653" spans="1:2" x14ac:dyDescent="0.2">
      <c r="A653" s="15"/>
      <c r="B653" s="15"/>
    </row>
    <row r="654" spans="1:2" x14ac:dyDescent="0.2">
      <c r="A654" s="15"/>
      <c r="B654" s="15"/>
    </row>
    <row r="655" spans="1:2" x14ac:dyDescent="0.2">
      <c r="A655" s="15"/>
      <c r="B655" s="15"/>
    </row>
    <row r="656" spans="1:2" x14ac:dyDescent="0.2">
      <c r="A656" s="15"/>
      <c r="B656" s="15"/>
    </row>
    <row r="657" spans="1:2" x14ac:dyDescent="0.2">
      <c r="A657" s="15"/>
      <c r="B657" s="15"/>
    </row>
    <row r="658" spans="1:2" x14ac:dyDescent="0.2">
      <c r="A658" s="15"/>
      <c r="B658" s="15"/>
    </row>
    <row r="659" spans="1:2" x14ac:dyDescent="0.2">
      <c r="A659" s="15"/>
      <c r="B659" s="15"/>
    </row>
    <row r="660" spans="1:2" x14ac:dyDescent="0.2">
      <c r="A660" s="15"/>
      <c r="B660" s="15"/>
    </row>
    <row r="661" spans="1:2" x14ac:dyDescent="0.2">
      <c r="A661" s="15"/>
      <c r="B661" s="15"/>
    </row>
    <row r="662" spans="1:2" x14ac:dyDescent="0.2">
      <c r="A662" s="15"/>
      <c r="B662" s="15"/>
    </row>
    <row r="663" spans="1:2" x14ac:dyDescent="0.2">
      <c r="A663" s="15"/>
      <c r="B663" s="15"/>
    </row>
    <row r="664" spans="1:2" x14ac:dyDescent="0.2">
      <c r="A664" s="15"/>
      <c r="B664" s="15"/>
    </row>
    <row r="665" spans="1:2" x14ac:dyDescent="0.2">
      <c r="A665" s="15"/>
      <c r="B665" s="15"/>
    </row>
    <row r="666" spans="1:2" x14ac:dyDescent="0.2">
      <c r="A666" s="15"/>
      <c r="B666" s="15"/>
    </row>
    <row r="667" spans="1:2" x14ac:dyDescent="0.2">
      <c r="A667" s="15"/>
      <c r="B667" s="15"/>
    </row>
    <row r="668" spans="1:2" x14ac:dyDescent="0.2">
      <c r="A668" s="15"/>
      <c r="B668" s="15"/>
    </row>
    <row r="669" spans="1:2" x14ac:dyDescent="0.2">
      <c r="A669" s="15"/>
      <c r="B669" s="15"/>
    </row>
    <row r="670" spans="1:2" x14ac:dyDescent="0.2">
      <c r="A670" s="15"/>
      <c r="B670" s="15"/>
    </row>
    <row r="671" spans="1:2" x14ac:dyDescent="0.2">
      <c r="A671" s="15"/>
      <c r="B671" s="15"/>
    </row>
    <row r="672" spans="1:2" x14ac:dyDescent="0.2">
      <c r="A672" s="15"/>
      <c r="B672" s="15"/>
    </row>
    <row r="673" spans="1:2" x14ac:dyDescent="0.2">
      <c r="A673" s="15"/>
      <c r="B673" s="15"/>
    </row>
    <row r="674" spans="1:2" x14ac:dyDescent="0.2">
      <c r="A674" s="15"/>
      <c r="B674" s="15"/>
    </row>
    <row r="675" spans="1:2" x14ac:dyDescent="0.2">
      <c r="A675" s="15"/>
      <c r="B675" s="15"/>
    </row>
    <row r="676" spans="1:2" x14ac:dyDescent="0.2">
      <c r="A676" s="15"/>
      <c r="B676" s="15"/>
    </row>
    <row r="677" spans="1:2" x14ac:dyDescent="0.2">
      <c r="A677" s="15"/>
      <c r="B677" s="15"/>
    </row>
    <row r="678" spans="1:2" x14ac:dyDescent="0.2">
      <c r="A678" s="15"/>
      <c r="B678" s="15"/>
    </row>
    <row r="679" spans="1:2" x14ac:dyDescent="0.2">
      <c r="A679" s="15"/>
      <c r="B679" s="15"/>
    </row>
    <row r="680" spans="1:2" x14ac:dyDescent="0.2">
      <c r="A680" s="15"/>
      <c r="B680" s="15"/>
    </row>
    <row r="681" spans="1:2" x14ac:dyDescent="0.2">
      <c r="A681" s="15"/>
      <c r="B681" s="15"/>
    </row>
    <row r="682" spans="1:2" x14ac:dyDescent="0.2">
      <c r="A682" s="15"/>
      <c r="B682" s="15"/>
    </row>
    <row r="683" spans="1:2" x14ac:dyDescent="0.2">
      <c r="A683" s="15"/>
      <c r="B683" s="15"/>
    </row>
    <row r="684" spans="1:2" x14ac:dyDescent="0.2">
      <c r="A684" s="15"/>
      <c r="B684" s="15"/>
    </row>
    <row r="685" spans="1:2" x14ac:dyDescent="0.2">
      <c r="A685" s="15"/>
      <c r="B685" s="15"/>
    </row>
    <row r="686" spans="1:2" x14ac:dyDescent="0.2">
      <c r="A686" s="15"/>
      <c r="B686" s="15"/>
    </row>
    <row r="687" spans="1:2" x14ac:dyDescent="0.2">
      <c r="A687" s="15"/>
      <c r="B687" s="15"/>
    </row>
    <row r="688" spans="1:2" x14ac:dyDescent="0.2">
      <c r="A688" s="15"/>
      <c r="B688" s="15"/>
    </row>
    <row r="689" spans="1:2" x14ac:dyDescent="0.2">
      <c r="A689" s="15"/>
      <c r="B689" s="15"/>
    </row>
    <row r="690" spans="1:2" x14ac:dyDescent="0.2">
      <c r="A690" s="15"/>
      <c r="B690" s="15"/>
    </row>
    <row r="691" spans="1:2" x14ac:dyDescent="0.2">
      <c r="A691" s="15"/>
      <c r="B691" s="15"/>
    </row>
    <row r="692" spans="1:2" x14ac:dyDescent="0.2">
      <c r="A692" s="15"/>
      <c r="B692" s="15"/>
    </row>
    <row r="693" spans="1:2" x14ac:dyDescent="0.2">
      <c r="A693" s="15"/>
      <c r="B693" s="15"/>
    </row>
    <row r="694" spans="1:2" x14ac:dyDescent="0.2">
      <c r="A694" s="15"/>
      <c r="B694" s="15"/>
    </row>
    <row r="695" spans="1:2" x14ac:dyDescent="0.2">
      <c r="A695" s="15"/>
      <c r="B695" s="15"/>
    </row>
    <row r="696" spans="1:2" x14ac:dyDescent="0.2">
      <c r="A696" s="15"/>
      <c r="B696" s="15"/>
    </row>
    <row r="697" spans="1:2" x14ac:dyDescent="0.2">
      <c r="A697" s="15"/>
      <c r="B697" s="15"/>
    </row>
    <row r="698" spans="1:2" x14ac:dyDescent="0.2">
      <c r="A698" s="15"/>
      <c r="B698" s="15"/>
    </row>
    <row r="699" spans="1:2" x14ac:dyDescent="0.2">
      <c r="A699" s="15"/>
      <c r="B699" s="15"/>
    </row>
    <row r="700" spans="1:2" x14ac:dyDescent="0.2">
      <c r="A700" s="15"/>
      <c r="B700" s="15"/>
    </row>
    <row r="701" spans="1:2" x14ac:dyDescent="0.2">
      <c r="A701" s="15"/>
      <c r="B701" s="15"/>
    </row>
    <row r="702" spans="1:2" x14ac:dyDescent="0.2">
      <c r="A702" s="15"/>
      <c r="B702" s="15"/>
    </row>
    <row r="703" spans="1:2" x14ac:dyDescent="0.2">
      <c r="A703" s="15"/>
      <c r="B703" s="15"/>
    </row>
    <row r="704" spans="1:2" x14ac:dyDescent="0.2">
      <c r="A704" s="15"/>
      <c r="B704" s="15"/>
    </row>
    <row r="705" spans="1:2" x14ac:dyDescent="0.2">
      <c r="A705" s="15"/>
      <c r="B705" s="15"/>
    </row>
    <row r="706" spans="1:2" x14ac:dyDescent="0.2">
      <c r="A706" s="15"/>
      <c r="B706" s="15"/>
    </row>
    <row r="707" spans="1:2" x14ac:dyDescent="0.2">
      <c r="A707" s="15"/>
      <c r="B707" s="15"/>
    </row>
    <row r="708" spans="1:2" x14ac:dyDescent="0.2">
      <c r="A708" s="15"/>
      <c r="B708" s="15"/>
    </row>
    <row r="709" spans="1:2" x14ac:dyDescent="0.2">
      <c r="A709" s="15"/>
      <c r="B709" s="15"/>
    </row>
    <row r="710" spans="1:2" x14ac:dyDescent="0.2">
      <c r="A710" s="15"/>
      <c r="B710" s="15"/>
    </row>
    <row r="711" spans="1:2" x14ac:dyDescent="0.2">
      <c r="A711" s="15"/>
      <c r="B711" s="15"/>
    </row>
    <row r="712" spans="1:2" x14ac:dyDescent="0.2">
      <c r="A712" s="15"/>
      <c r="B712" s="15"/>
    </row>
    <row r="713" spans="1:2" x14ac:dyDescent="0.2">
      <c r="A713" s="15"/>
      <c r="B713" s="15"/>
    </row>
    <row r="714" spans="1:2" x14ac:dyDescent="0.2">
      <c r="A714" s="15"/>
      <c r="B714" s="15"/>
    </row>
    <row r="715" spans="1:2" x14ac:dyDescent="0.2">
      <c r="A715" s="15"/>
      <c r="B715" s="15"/>
    </row>
    <row r="716" spans="1:2" x14ac:dyDescent="0.2">
      <c r="A716" s="15"/>
      <c r="B716" s="15"/>
    </row>
    <row r="717" spans="1:2" x14ac:dyDescent="0.2">
      <c r="A717" s="15"/>
      <c r="B717" s="15"/>
    </row>
    <row r="718" spans="1:2" x14ac:dyDescent="0.2">
      <c r="A718" s="15"/>
      <c r="B718" s="15"/>
    </row>
    <row r="719" spans="1:2" x14ac:dyDescent="0.2">
      <c r="A719" s="15"/>
      <c r="B719" s="15"/>
    </row>
    <row r="720" spans="1:2" x14ac:dyDescent="0.2">
      <c r="A720" s="15"/>
      <c r="B720" s="15"/>
    </row>
    <row r="721" spans="1:2" x14ac:dyDescent="0.2">
      <c r="A721" s="15"/>
      <c r="B721" s="15"/>
    </row>
    <row r="722" spans="1:2" x14ac:dyDescent="0.2">
      <c r="A722" s="15"/>
      <c r="B722" s="15"/>
    </row>
    <row r="723" spans="1:2" x14ac:dyDescent="0.2">
      <c r="A723" s="15"/>
      <c r="B723" s="15"/>
    </row>
    <row r="724" spans="1:2" x14ac:dyDescent="0.2">
      <c r="A724" s="15"/>
      <c r="B724" s="15"/>
    </row>
    <row r="725" spans="1:2" x14ac:dyDescent="0.2">
      <c r="A725" s="15"/>
      <c r="B725" s="15"/>
    </row>
    <row r="726" spans="1:2" x14ac:dyDescent="0.2">
      <c r="A726" s="15"/>
      <c r="B726" s="15"/>
    </row>
    <row r="727" spans="1:2" x14ac:dyDescent="0.2">
      <c r="A727" s="15"/>
      <c r="B727" s="15"/>
    </row>
    <row r="728" spans="1:2" x14ac:dyDescent="0.2">
      <c r="A728" s="15"/>
      <c r="B728" s="15"/>
    </row>
    <row r="729" spans="1:2" x14ac:dyDescent="0.2">
      <c r="A729" s="15"/>
      <c r="B729" s="15"/>
    </row>
    <row r="730" spans="1:2" x14ac:dyDescent="0.2">
      <c r="A730" s="15"/>
      <c r="B730" s="15"/>
    </row>
    <row r="731" spans="1:2" x14ac:dyDescent="0.2">
      <c r="A731" s="15"/>
      <c r="B731" s="15"/>
    </row>
    <row r="732" spans="1:2" x14ac:dyDescent="0.2">
      <c r="A732" s="15"/>
      <c r="B732" s="15"/>
    </row>
    <row r="733" spans="1:2" x14ac:dyDescent="0.2">
      <c r="A733" s="15"/>
      <c r="B733" s="15"/>
    </row>
    <row r="734" spans="1:2" x14ac:dyDescent="0.2">
      <c r="A734" s="15"/>
      <c r="B734" s="15"/>
    </row>
    <row r="735" spans="1:2" x14ac:dyDescent="0.2">
      <c r="A735" s="15"/>
      <c r="B735" s="15"/>
    </row>
    <row r="736" spans="1:2" x14ac:dyDescent="0.2">
      <c r="A736" s="15"/>
      <c r="B736" s="15"/>
    </row>
    <row r="737" spans="1:2" x14ac:dyDescent="0.2">
      <c r="A737" s="15"/>
      <c r="B737" s="15"/>
    </row>
    <row r="738" spans="1:2" x14ac:dyDescent="0.2">
      <c r="A738" s="15"/>
      <c r="B738" s="15"/>
    </row>
    <row r="739" spans="1:2" x14ac:dyDescent="0.2">
      <c r="A739" s="15"/>
      <c r="B739" s="15"/>
    </row>
    <row r="740" spans="1:2" x14ac:dyDescent="0.2">
      <c r="A740" s="15"/>
      <c r="B740" s="15"/>
    </row>
    <row r="741" spans="1:2" x14ac:dyDescent="0.2">
      <c r="A741" s="15"/>
      <c r="B741" s="15"/>
    </row>
    <row r="742" spans="1:2" x14ac:dyDescent="0.2">
      <c r="A742" s="15"/>
      <c r="B742" s="15"/>
    </row>
    <row r="743" spans="1:2" x14ac:dyDescent="0.2">
      <c r="A743" s="15"/>
      <c r="B743" s="15"/>
    </row>
    <row r="744" spans="1:2" x14ac:dyDescent="0.2">
      <c r="A744" s="15"/>
      <c r="B744" s="15"/>
    </row>
    <row r="745" spans="1:2" x14ac:dyDescent="0.2">
      <c r="A745" s="15"/>
      <c r="B745" s="15"/>
    </row>
    <row r="746" spans="1:2" x14ac:dyDescent="0.2">
      <c r="A746" s="15"/>
      <c r="B746" s="15"/>
    </row>
    <row r="747" spans="1:2" x14ac:dyDescent="0.2">
      <c r="A747" s="15"/>
      <c r="B747" s="15"/>
    </row>
    <row r="748" spans="1:2" x14ac:dyDescent="0.2">
      <c r="A748" s="15"/>
      <c r="B748" s="15"/>
    </row>
    <row r="749" spans="1:2" x14ac:dyDescent="0.2">
      <c r="A749" s="15"/>
      <c r="B749" s="15"/>
    </row>
    <row r="750" spans="1:2" x14ac:dyDescent="0.2">
      <c r="A750" s="15"/>
      <c r="B750" s="15"/>
    </row>
    <row r="751" spans="1:2" x14ac:dyDescent="0.2">
      <c r="A751" s="15"/>
      <c r="B751" s="15"/>
    </row>
    <row r="752" spans="1:2" x14ac:dyDescent="0.2">
      <c r="A752" s="15"/>
      <c r="B752" s="15"/>
    </row>
    <row r="753" spans="1:2" x14ac:dyDescent="0.2">
      <c r="A753" s="15"/>
      <c r="B753" s="15"/>
    </row>
    <row r="754" spans="1:2" x14ac:dyDescent="0.2">
      <c r="A754" s="15"/>
      <c r="B754" s="15"/>
    </row>
    <row r="755" spans="1:2" x14ac:dyDescent="0.2">
      <c r="A755" s="15"/>
      <c r="B755" s="15"/>
    </row>
    <row r="756" spans="1:2" x14ac:dyDescent="0.2">
      <c r="A756" s="15"/>
      <c r="B756" s="15"/>
    </row>
    <row r="757" spans="1:2" x14ac:dyDescent="0.2">
      <c r="A757" s="15"/>
      <c r="B757" s="15"/>
    </row>
    <row r="758" spans="1:2" x14ac:dyDescent="0.2">
      <c r="A758" s="15"/>
      <c r="B758" s="15"/>
    </row>
    <row r="759" spans="1:2" x14ac:dyDescent="0.2">
      <c r="A759" s="15"/>
      <c r="B759" s="15"/>
    </row>
    <row r="760" spans="1:2" x14ac:dyDescent="0.2">
      <c r="A760" s="15"/>
      <c r="B760" s="15"/>
    </row>
    <row r="761" spans="1:2" x14ac:dyDescent="0.2">
      <c r="A761" s="15"/>
      <c r="B761" s="15"/>
    </row>
    <row r="762" spans="1:2" x14ac:dyDescent="0.2">
      <c r="A762" s="15"/>
      <c r="B762" s="15"/>
    </row>
    <row r="763" spans="1:2" x14ac:dyDescent="0.2">
      <c r="A763" s="15"/>
      <c r="B763" s="15"/>
    </row>
    <row r="764" spans="1:2" x14ac:dyDescent="0.2">
      <c r="A764" s="15"/>
      <c r="B764" s="15"/>
    </row>
    <row r="765" spans="1:2" x14ac:dyDescent="0.2">
      <c r="A765" s="15"/>
      <c r="B765" s="15"/>
    </row>
    <row r="766" spans="1:2" x14ac:dyDescent="0.2">
      <c r="A766" s="15"/>
      <c r="B766" s="15"/>
    </row>
    <row r="767" spans="1:2" x14ac:dyDescent="0.2">
      <c r="A767" s="15"/>
      <c r="B767" s="15"/>
    </row>
    <row r="768" spans="1:2" x14ac:dyDescent="0.2">
      <c r="A768" s="15"/>
      <c r="B768" s="15"/>
    </row>
    <row r="769" spans="1:2" x14ac:dyDescent="0.2">
      <c r="A769" s="15"/>
      <c r="B769" s="15"/>
    </row>
    <row r="770" spans="1:2" x14ac:dyDescent="0.2">
      <c r="A770" s="15"/>
      <c r="B770" s="15"/>
    </row>
    <row r="771" spans="1:2" x14ac:dyDescent="0.2">
      <c r="A771" s="15"/>
      <c r="B771" s="15"/>
    </row>
    <row r="772" spans="1:2" x14ac:dyDescent="0.2">
      <c r="A772" s="15"/>
      <c r="B772" s="15"/>
    </row>
    <row r="773" spans="1:2" x14ac:dyDescent="0.2">
      <c r="A773" s="15"/>
      <c r="B773" s="15"/>
    </row>
    <row r="774" spans="1:2" x14ac:dyDescent="0.2">
      <c r="A774" s="15"/>
      <c r="B774" s="15"/>
    </row>
    <row r="775" spans="1:2" x14ac:dyDescent="0.2">
      <c r="A775" s="15"/>
      <c r="B775" s="15"/>
    </row>
    <row r="776" spans="1:2" x14ac:dyDescent="0.2">
      <c r="A776" s="15"/>
      <c r="B776" s="15"/>
    </row>
    <row r="777" spans="1:2" x14ac:dyDescent="0.2">
      <c r="A777" s="15"/>
      <c r="B777" s="15"/>
    </row>
    <row r="778" spans="1:2" x14ac:dyDescent="0.2">
      <c r="A778" s="15"/>
      <c r="B778" s="15"/>
    </row>
    <row r="779" spans="1:2" x14ac:dyDescent="0.2">
      <c r="A779" s="15"/>
      <c r="B779" s="15"/>
    </row>
    <row r="780" spans="1:2" x14ac:dyDescent="0.2">
      <c r="A780" s="15"/>
      <c r="B780" s="15"/>
    </row>
    <row r="781" spans="1:2" x14ac:dyDescent="0.2">
      <c r="A781" s="15"/>
      <c r="B781" s="15"/>
    </row>
    <row r="782" spans="1:2" x14ac:dyDescent="0.2">
      <c r="A782" s="15"/>
      <c r="B782" s="15"/>
    </row>
    <row r="783" spans="1:2" x14ac:dyDescent="0.2">
      <c r="A783" s="15"/>
      <c r="B783" s="15"/>
    </row>
    <row r="784" spans="1:2" x14ac:dyDescent="0.2">
      <c r="A784" s="15"/>
      <c r="B784" s="15"/>
    </row>
    <row r="785" spans="1:2" x14ac:dyDescent="0.2">
      <c r="A785" s="15"/>
      <c r="B785" s="15"/>
    </row>
    <row r="786" spans="1:2" x14ac:dyDescent="0.2">
      <c r="A786" s="15"/>
      <c r="B786" s="15"/>
    </row>
    <row r="787" spans="1:2" x14ac:dyDescent="0.2">
      <c r="A787" s="15"/>
      <c r="B787" s="15"/>
    </row>
    <row r="788" spans="1:2" x14ac:dyDescent="0.2">
      <c r="A788" s="15"/>
      <c r="B788" s="15"/>
    </row>
    <row r="789" spans="1:2" x14ac:dyDescent="0.2">
      <c r="A789" s="15"/>
      <c r="B789" s="15"/>
    </row>
    <row r="790" spans="1:2" x14ac:dyDescent="0.2">
      <c r="A790" s="15"/>
      <c r="B790" s="15"/>
    </row>
    <row r="791" spans="1:2" x14ac:dyDescent="0.2">
      <c r="A791" s="15"/>
      <c r="B791" s="15"/>
    </row>
    <row r="792" spans="1:2" x14ac:dyDescent="0.2">
      <c r="A792" s="15"/>
      <c r="B792" s="15"/>
    </row>
    <row r="793" spans="1:2" x14ac:dyDescent="0.2">
      <c r="A793" s="15"/>
      <c r="B793" s="15"/>
    </row>
    <row r="794" spans="1:2" x14ac:dyDescent="0.2">
      <c r="A794" s="15"/>
      <c r="B794" s="15"/>
    </row>
    <row r="795" spans="1:2" x14ac:dyDescent="0.2">
      <c r="A795" s="15"/>
      <c r="B795" s="15"/>
    </row>
    <row r="796" spans="1:2" x14ac:dyDescent="0.2">
      <c r="A796" s="15"/>
      <c r="B796" s="15"/>
    </row>
    <row r="797" spans="1:2" x14ac:dyDescent="0.2">
      <c r="A797" s="15"/>
      <c r="B797" s="15"/>
    </row>
    <row r="798" spans="1:2" x14ac:dyDescent="0.2">
      <c r="A798" s="15"/>
      <c r="B798" s="15"/>
    </row>
    <row r="799" spans="1:2" x14ac:dyDescent="0.2">
      <c r="A799" s="15"/>
      <c r="B799" s="15"/>
    </row>
    <row r="800" spans="1:2" x14ac:dyDescent="0.2">
      <c r="A800" s="15"/>
      <c r="B800" s="15"/>
    </row>
    <row r="801" spans="1:2" x14ac:dyDescent="0.2">
      <c r="A801" s="15"/>
      <c r="B801" s="15"/>
    </row>
    <row r="802" spans="1:2" x14ac:dyDescent="0.2">
      <c r="A802" s="15"/>
      <c r="B802" s="15"/>
    </row>
    <row r="803" spans="1:2" x14ac:dyDescent="0.2">
      <c r="A803" s="15"/>
      <c r="B803" s="15"/>
    </row>
    <row r="804" spans="1:2" x14ac:dyDescent="0.2">
      <c r="A804" s="15"/>
      <c r="B804" s="15"/>
    </row>
    <row r="805" spans="1:2" x14ac:dyDescent="0.2">
      <c r="A805" s="15"/>
      <c r="B805" s="15"/>
    </row>
    <row r="806" spans="1:2" x14ac:dyDescent="0.2">
      <c r="A806" s="15"/>
      <c r="B806" s="15"/>
    </row>
    <row r="807" spans="1:2" x14ac:dyDescent="0.2">
      <c r="A807" s="15"/>
      <c r="B807" s="15"/>
    </row>
    <row r="808" spans="1:2" x14ac:dyDescent="0.2">
      <c r="A808" s="15"/>
      <c r="B808" s="15"/>
    </row>
    <row r="809" spans="1:2" x14ac:dyDescent="0.2">
      <c r="A809" s="15"/>
      <c r="B809" s="15"/>
    </row>
    <row r="810" spans="1:2" x14ac:dyDescent="0.2">
      <c r="A810" s="15"/>
      <c r="B810" s="15"/>
    </row>
    <row r="811" spans="1:2" x14ac:dyDescent="0.2">
      <c r="A811" s="15"/>
      <c r="B811" s="15"/>
    </row>
    <row r="812" spans="1:2" x14ac:dyDescent="0.2">
      <c r="A812" s="15"/>
      <c r="B812" s="15"/>
    </row>
    <row r="813" spans="1:2" x14ac:dyDescent="0.2">
      <c r="A813" s="15"/>
      <c r="B813" s="15"/>
    </row>
    <row r="814" spans="1:2" x14ac:dyDescent="0.2">
      <c r="A814" s="15"/>
      <c r="B814" s="15"/>
    </row>
    <row r="815" spans="1:2" x14ac:dyDescent="0.2">
      <c r="A815" s="15"/>
      <c r="B815" s="15"/>
    </row>
    <row r="816" spans="1:2" x14ac:dyDescent="0.2">
      <c r="A816" s="15"/>
      <c r="B816" s="15"/>
    </row>
    <row r="817" spans="1:2" x14ac:dyDescent="0.2">
      <c r="A817" s="15"/>
      <c r="B817" s="15"/>
    </row>
    <row r="818" spans="1:2" x14ac:dyDescent="0.2">
      <c r="A818" s="15"/>
      <c r="B818" s="15"/>
    </row>
    <row r="819" spans="1:2" x14ac:dyDescent="0.2">
      <c r="A819" s="15"/>
      <c r="B819" s="15"/>
    </row>
    <row r="820" spans="1:2" x14ac:dyDescent="0.2">
      <c r="A820" s="15"/>
      <c r="B820" s="15"/>
    </row>
    <row r="821" spans="1:2" x14ac:dyDescent="0.2">
      <c r="A821" s="15"/>
      <c r="B821" s="15"/>
    </row>
    <row r="822" spans="1:2" x14ac:dyDescent="0.2">
      <c r="A822" s="15"/>
      <c r="B822" s="15"/>
    </row>
    <row r="823" spans="1:2" x14ac:dyDescent="0.2">
      <c r="A823" s="15"/>
      <c r="B823" s="15"/>
    </row>
    <row r="824" spans="1:2" x14ac:dyDescent="0.2">
      <c r="A824" s="15"/>
      <c r="B824" s="15"/>
    </row>
    <row r="825" spans="1:2" x14ac:dyDescent="0.2">
      <c r="A825" s="15"/>
      <c r="B825" s="15"/>
    </row>
    <row r="826" spans="1:2" x14ac:dyDescent="0.2">
      <c r="A826" s="15"/>
      <c r="B826" s="15"/>
    </row>
    <row r="827" spans="1:2" x14ac:dyDescent="0.2">
      <c r="A827" s="15"/>
      <c r="B827" s="15"/>
    </row>
    <row r="828" spans="1:2" x14ac:dyDescent="0.2">
      <c r="A828" s="15"/>
      <c r="B828" s="15"/>
    </row>
    <row r="829" spans="1:2" x14ac:dyDescent="0.2">
      <c r="A829" s="15"/>
      <c r="B829" s="15"/>
    </row>
    <row r="830" spans="1:2" x14ac:dyDescent="0.2">
      <c r="A830" s="15"/>
      <c r="B830" s="15"/>
    </row>
    <row r="831" spans="1:2" x14ac:dyDescent="0.2">
      <c r="A831" s="15"/>
      <c r="B831" s="15"/>
    </row>
    <row r="832" spans="1:2" x14ac:dyDescent="0.2">
      <c r="A832" s="15"/>
      <c r="B832" s="15"/>
    </row>
    <row r="833" spans="1:2" x14ac:dyDescent="0.2">
      <c r="A833" s="15"/>
      <c r="B833" s="15"/>
    </row>
    <row r="834" spans="1:2" x14ac:dyDescent="0.2">
      <c r="A834" s="15"/>
      <c r="B834" s="15"/>
    </row>
    <row r="835" spans="1:2" x14ac:dyDescent="0.2">
      <c r="A835" s="15"/>
      <c r="B835" s="15"/>
    </row>
    <row r="836" spans="1:2" x14ac:dyDescent="0.2">
      <c r="A836" s="15"/>
      <c r="B836" s="15"/>
    </row>
    <row r="837" spans="1:2" x14ac:dyDescent="0.2">
      <c r="A837" s="15"/>
      <c r="B837" s="15"/>
    </row>
    <row r="838" spans="1:2" x14ac:dyDescent="0.2">
      <c r="A838" s="15"/>
      <c r="B838" s="15"/>
    </row>
    <row r="839" spans="1:2" x14ac:dyDescent="0.2">
      <c r="A839" s="15"/>
      <c r="B839" s="15"/>
    </row>
    <row r="840" spans="1:2" x14ac:dyDescent="0.2">
      <c r="A840" s="15"/>
      <c r="B840" s="15"/>
    </row>
    <row r="841" spans="1:2" x14ac:dyDescent="0.2">
      <c r="A841" s="15"/>
      <c r="B841" s="15"/>
    </row>
    <row r="842" spans="1:2" x14ac:dyDescent="0.2">
      <c r="A842" s="15"/>
      <c r="B842" s="15"/>
    </row>
    <row r="843" spans="1:2" x14ac:dyDescent="0.2">
      <c r="A843" s="15"/>
      <c r="B843" s="15"/>
    </row>
    <row r="844" spans="1:2" x14ac:dyDescent="0.2">
      <c r="A844" s="15"/>
      <c r="B844" s="15"/>
    </row>
    <row r="845" spans="1:2" x14ac:dyDescent="0.2">
      <c r="A845" s="15"/>
      <c r="B845" s="15"/>
    </row>
    <row r="846" spans="1:2" x14ac:dyDescent="0.2">
      <c r="A846" s="15"/>
      <c r="B846" s="15"/>
    </row>
    <row r="847" spans="1:2" x14ac:dyDescent="0.2">
      <c r="A847" s="15"/>
      <c r="B847" s="15"/>
    </row>
    <row r="848" spans="1:2" x14ac:dyDescent="0.2">
      <c r="A848" s="15"/>
      <c r="B848" s="15"/>
    </row>
    <row r="849" spans="1:2" x14ac:dyDescent="0.2">
      <c r="A849" s="15"/>
      <c r="B849" s="15"/>
    </row>
    <row r="850" spans="1:2" x14ac:dyDescent="0.2">
      <c r="A850" s="15"/>
      <c r="B850" s="15"/>
    </row>
    <row r="851" spans="1:2" x14ac:dyDescent="0.2">
      <c r="A851" s="15"/>
      <c r="B851" s="15"/>
    </row>
    <row r="852" spans="1:2" x14ac:dyDescent="0.2">
      <c r="A852" s="15"/>
      <c r="B852" s="15"/>
    </row>
    <row r="853" spans="1:2" x14ac:dyDescent="0.2">
      <c r="A853" s="15"/>
      <c r="B853" s="15"/>
    </row>
    <row r="854" spans="1:2" x14ac:dyDescent="0.2">
      <c r="A854" s="15"/>
      <c r="B854" s="15"/>
    </row>
    <row r="855" spans="1:2" x14ac:dyDescent="0.2">
      <c r="A855" s="15"/>
      <c r="B855" s="15"/>
    </row>
    <row r="856" spans="1:2" x14ac:dyDescent="0.2">
      <c r="A856" s="15"/>
      <c r="B856" s="15"/>
    </row>
    <row r="857" spans="1:2" x14ac:dyDescent="0.2">
      <c r="A857" s="15"/>
      <c r="B857" s="15"/>
    </row>
    <row r="858" spans="1:2" x14ac:dyDescent="0.2">
      <c r="A858" s="15"/>
      <c r="B858" s="15"/>
    </row>
    <row r="859" spans="1:2" x14ac:dyDescent="0.2">
      <c r="A859" s="15"/>
      <c r="B859" s="15"/>
    </row>
    <row r="860" spans="1:2" x14ac:dyDescent="0.2">
      <c r="A860" s="15"/>
      <c r="B860" s="15"/>
    </row>
    <row r="861" spans="1:2" x14ac:dyDescent="0.2">
      <c r="A861" s="15"/>
      <c r="B861" s="15"/>
    </row>
    <row r="862" spans="1:2" x14ac:dyDescent="0.2">
      <c r="A862" s="15"/>
      <c r="B862" s="15"/>
    </row>
    <row r="863" spans="1:2" x14ac:dyDescent="0.2">
      <c r="A863" s="15"/>
      <c r="B863" s="15"/>
    </row>
    <row r="864" spans="1:2" x14ac:dyDescent="0.2">
      <c r="A864" s="15"/>
      <c r="B864" s="15"/>
    </row>
    <row r="865" spans="1:2" x14ac:dyDescent="0.2">
      <c r="A865" s="15"/>
      <c r="B865" s="15"/>
    </row>
    <row r="866" spans="1:2" x14ac:dyDescent="0.2">
      <c r="A866" s="15"/>
      <c r="B866" s="15"/>
    </row>
    <row r="867" spans="1:2" x14ac:dyDescent="0.2">
      <c r="A867" s="15"/>
      <c r="B867" s="15"/>
    </row>
    <row r="868" spans="1:2" x14ac:dyDescent="0.2">
      <c r="A868" s="15"/>
      <c r="B868" s="15"/>
    </row>
    <row r="869" spans="1:2" x14ac:dyDescent="0.2">
      <c r="A869" s="15"/>
      <c r="B869" s="15"/>
    </row>
    <row r="870" spans="1:2" x14ac:dyDescent="0.2">
      <c r="A870" s="15"/>
      <c r="B870" s="15"/>
    </row>
    <row r="871" spans="1:2" x14ac:dyDescent="0.2">
      <c r="A871" s="15"/>
      <c r="B871" s="15"/>
    </row>
    <row r="872" spans="1:2" x14ac:dyDescent="0.2">
      <c r="A872" s="15"/>
      <c r="B872" s="15"/>
    </row>
    <row r="873" spans="1:2" x14ac:dyDescent="0.2">
      <c r="A873" s="15"/>
      <c r="B873" s="15"/>
    </row>
    <row r="874" spans="1:2" x14ac:dyDescent="0.2">
      <c r="A874" s="15"/>
      <c r="B874" s="15"/>
    </row>
    <row r="875" spans="1:2" x14ac:dyDescent="0.2">
      <c r="A875" s="15"/>
      <c r="B875" s="15"/>
    </row>
    <row r="876" spans="1:2" x14ac:dyDescent="0.2">
      <c r="A876" s="15"/>
      <c r="B876" s="15"/>
    </row>
    <row r="877" spans="1:2" x14ac:dyDescent="0.2">
      <c r="A877" s="15"/>
      <c r="B877" s="15"/>
    </row>
    <row r="878" spans="1:2" x14ac:dyDescent="0.2">
      <c r="A878" s="15"/>
      <c r="B878" s="15"/>
    </row>
    <row r="879" spans="1:2" x14ac:dyDescent="0.2">
      <c r="A879" s="15"/>
      <c r="B879" s="15"/>
    </row>
    <row r="880" spans="1:2" x14ac:dyDescent="0.2">
      <c r="A880" s="15"/>
      <c r="B880" s="15"/>
    </row>
    <row r="881" spans="1:2" x14ac:dyDescent="0.2">
      <c r="A881" s="15"/>
      <c r="B881" s="15"/>
    </row>
    <row r="882" spans="1:2" x14ac:dyDescent="0.2">
      <c r="A882" s="15"/>
      <c r="B882" s="15"/>
    </row>
    <row r="883" spans="1:2" x14ac:dyDescent="0.2">
      <c r="A883" s="15"/>
      <c r="B883" s="15"/>
    </row>
    <row r="884" spans="1:2" x14ac:dyDescent="0.2">
      <c r="A884" s="15"/>
      <c r="B884" s="15"/>
    </row>
    <row r="885" spans="1:2" x14ac:dyDescent="0.2">
      <c r="A885" s="15"/>
      <c r="B885" s="15"/>
    </row>
    <row r="886" spans="1:2" x14ac:dyDescent="0.2">
      <c r="A886" s="15"/>
      <c r="B886" s="15"/>
    </row>
    <row r="887" spans="1:2" x14ac:dyDescent="0.2">
      <c r="A887" s="15"/>
      <c r="B887" s="15"/>
    </row>
    <row r="888" spans="1:2" x14ac:dyDescent="0.2">
      <c r="A888" s="15"/>
      <c r="B888" s="15"/>
    </row>
    <row r="889" spans="1:2" x14ac:dyDescent="0.2">
      <c r="A889" s="15"/>
      <c r="B889" s="15"/>
    </row>
    <row r="890" spans="1:2" x14ac:dyDescent="0.2">
      <c r="A890" s="15"/>
      <c r="B890" s="15"/>
    </row>
    <row r="891" spans="1:2" x14ac:dyDescent="0.2">
      <c r="A891" s="15"/>
      <c r="B891" s="15"/>
    </row>
    <row r="892" spans="1:2" x14ac:dyDescent="0.2">
      <c r="A892" s="15"/>
      <c r="B892" s="15"/>
    </row>
    <row r="893" spans="1:2" x14ac:dyDescent="0.2">
      <c r="A893" s="15"/>
      <c r="B893" s="15"/>
    </row>
    <row r="894" spans="1:2" x14ac:dyDescent="0.2">
      <c r="A894" s="15"/>
      <c r="B894" s="15"/>
    </row>
    <row r="895" spans="1:2" x14ac:dyDescent="0.2">
      <c r="A895" s="15"/>
      <c r="B895" s="15"/>
    </row>
    <row r="896" spans="1:2" x14ac:dyDescent="0.2">
      <c r="A896" s="15"/>
      <c r="B896" s="15"/>
    </row>
    <row r="897" spans="1:2" x14ac:dyDescent="0.2">
      <c r="A897" s="15"/>
      <c r="B897" s="15"/>
    </row>
    <row r="898" spans="1:2" x14ac:dyDescent="0.2">
      <c r="A898" s="15"/>
      <c r="B898" s="15"/>
    </row>
    <row r="899" spans="1:2" x14ac:dyDescent="0.2">
      <c r="A899" s="15"/>
      <c r="B899" s="15"/>
    </row>
    <row r="900" spans="1:2" x14ac:dyDescent="0.2">
      <c r="A900" s="15"/>
      <c r="B900" s="15"/>
    </row>
    <row r="901" spans="1:2" x14ac:dyDescent="0.2">
      <c r="A901" s="15"/>
      <c r="B901" s="15"/>
    </row>
    <row r="902" spans="1:2" x14ac:dyDescent="0.2">
      <c r="A902" s="15"/>
      <c r="B902" s="15"/>
    </row>
    <row r="903" spans="1:2" x14ac:dyDescent="0.2">
      <c r="A903" s="15"/>
      <c r="B903" s="15"/>
    </row>
    <row r="904" spans="1:2" x14ac:dyDescent="0.2">
      <c r="A904" s="15"/>
      <c r="B904" s="15"/>
    </row>
    <row r="905" spans="1:2" x14ac:dyDescent="0.2">
      <c r="A905" s="15"/>
      <c r="B905" s="15"/>
    </row>
    <row r="906" spans="1:2" x14ac:dyDescent="0.2">
      <c r="A906" s="15"/>
      <c r="B906" s="15"/>
    </row>
    <row r="907" spans="1:2" x14ac:dyDescent="0.2">
      <c r="A907" s="15"/>
      <c r="B907" s="15"/>
    </row>
    <row r="908" spans="1:2" x14ac:dyDescent="0.2">
      <c r="A908" s="15"/>
      <c r="B908" s="15"/>
    </row>
    <row r="909" spans="1:2" x14ac:dyDescent="0.2">
      <c r="A909" s="15"/>
      <c r="B909" s="15"/>
    </row>
    <row r="910" spans="1:2" x14ac:dyDescent="0.2">
      <c r="A910" s="15"/>
      <c r="B910" s="15"/>
    </row>
    <row r="911" spans="1:2" x14ac:dyDescent="0.2">
      <c r="A911" s="15"/>
      <c r="B911" s="15"/>
    </row>
    <row r="912" spans="1:2" x14ac:dyDescent="0.2">
      <c r="A912" s="15"/>
      <c r="B912" s="15"/>
    </row>
    <row r="913" spans="1:2" x14ac:dyDescent="0.2">
      <c r="A913" s="15"/>
      <c r="B913" s="15"/>
    </row>
    <row r="914" spans="1:2" x14ac:dyDescent="0.2">
      <c r="A914" s="15"/>
      <c r="B914" s="15"/>
    </row>
    <row r="915" spans="1:2" x14ac:dyDescent="0.2">
      <c r="A915" s="15"/>
      <c r="B915" s="15"/>
    </row>
    <row r="916" spans="1:2" x14ac:dyDescent="0.2">
      <c r="A916" s="15"/>
      <c r="B916" s="15"/>
    </row>
    <row r="917" spans="1:2" x14ac:dyDescent="0.2">
      <c r="A917" s="15"/>
      <c r="B917" s="15"/>
    </row>
    <row r="918" spans="1:2" x14ac:dyDescent="0.2">
      <c r="A918" s="15"/>
      <c r="B918" s="15"/>
    </row>
    <row r="919" spans="1:2" x14ac:dyDescent="0.2">
      <c r="A919" s="15"/>
      <c r="B919" s="15"/>
    </row>
    <row r="920" spans="1:2" x14ac:dyDescent="0.2">
      <c r="A920" s="15"/>
      <c r="B920" s="15"/>
    </row>
    <row r="921" spans="1:2" x14ac:dyDescent="0.2">
      <c r="A921" s="15"/>
      <c r="B921" s="15"/>
    </row>
    <row r="922" spans="1:2" x14ac:dyDescent="0.2">
      <c r="A922" s="15"/>
      <c r="B922" s="15"/>
    </row>
    <row r="923" spans="1:2" x14ac:dyDescent="0.2">
      <c r="A923" s="15"/>
      <c r="B923" s="15"/>
    </row>
    <row r="924" spans="1:2" x14ac:dyDescent="0.2">
      <c r="A924" s="15"/>
      <c r="B924" s="15"/>
    </row>
    <row r="925" spans="1:2" x14ac:dyDescent="0.2">
      <c r="A925" s="15"/>
      <c r="B925" s="15"/>
    </row>
    <row r="926" spans="1:2" x14ac:dyDescent="0.2">
      <c r="A926" s="15"/>
      <c r="B926" s="15"/>
    </row>
    <row r="927" spans="1:2" x14ac:dyDescent="0.2">
      <c r="A927" s="15"/>
      <c r="B927" s="15"/>
    </row>
    <row r="928" spans="1:2" x14ac:dyDescent="0.2">
      <c r="A928" s="15"/>
      <c r="B928" s="15"/>
    </row>
    <row r="929" spans="1:2" x14ac:dyDescent="0.2">
      <c r="A929" s="15"/>
      <c r="B929" s="15"/>
    </row>
    <row r="930" spans="1:2" x14ac:dyDescent="0.2">
      <c r="A930" s="15"/>
      <c r="B930" s="15"/>
    </row>
    <row r="931" spans="1:2" x14ac:dyDescent="0.2">
      <c r="A931" s="15"/>
      <c r="B931" s="15"/>
    </row>
    <row r="932" spans="1:2" x14ac:dyDescent="0.2">
      <c r="A932" s="15"/>
      <c r="B932" s="15"/>
    </row>
    <row r="933" spans="1:2" x14ac:dyDescent="0.2">
      <c r="A933" s="15"/>
      <c r="B933" s="15"/>
    </row>
    <row r="934" spans="1:2" x14ac:dyDescent="0.2">
      <c r="A934" s="15"/>
      <c r="B934" s="15"/>
    </row>
    <row r="935" spans="1:2" x14ac:dyDescent="0.2">
      <c r="A935" s="15"/>
      <c r="B935" s="15"/>
    </row>
    <row r="936" spans="1:2" x14ac:dyDescent="0.2">
      <c r="A936" s="15"/>
      <c r="B936" s="15"/>
    </row>
    <row r="937" spans="1:2" x14ac:dyDescent="0.2">
      <c r="A937" s="15"/>
      <c r="B937" s="15"/>
    </row>
    <row r="938" spans="1:2" x14ac:dyDescent="0.2">
      <c r="A938" s="15"/>
      <c r="B938" s="15"/>
    </row>
    <row r="939" spans="1:2" x14ac:dyDescent="0.2">
      <c r="A939" s="15"/>
      <c r="B939" s="15"/>
    </row>
    <row r="940" spans="1:2" x14ac:dyDescent="0.2">
      <c r="A940" s="15"/>
      <c r="B940" s="15"/>
    </row>
    <row r="941" spans="1:2" x14ac:dyDescent="0.2">
      <c r="A941" s="15"/>
      <c r="B941" s="15"/>
    </row>
    <row r="942" spans="1:2" x14ac:dyDescent="0.2">
      <c r="A942" s="15"/>
      <c r="B942" s="15"/>
    </row>
    <row r="943" spans="1:2" x14ac:dyDescent="0.2">
      <c r="A943" s="15"/>
      <c r="B943" s="15"/>
    </row>
    <row r="944" spans="1:2" x14ac:dyDescent="0.2">
      <c r="A944" s="15"/>
      <c r="B944" s="15"/>
    </row>
    <row r="945" spans="1:2" x14ac:dyDescent="0.2">
      <c r="A945" s="15"/>
      <c r="B945" s="15"/>
    </row>
    <row r="946" spans="1:2" x14ac:dyDescent="0.2">
      <c r="A946" s="15"/>
      <c r="B946" s="15"/>
    </row>
    <row r="947" spans="1:2" x14ac:dyDescent="0.2">
      <c r="A947" s="15"/>
      <c r="B947" s="15"/>
    </row>
    <row r="948" spans="1:2" x14ac:dyDescent="0.2">
      <c r="A948" s="15"/>
      <c r="B948" s="15"/>
    </row>
    <row r="949" spans="1:2" x14ac:dyDescent="0.2">
      <c r="A949" s="15"/>
      <c r="B949" s="15"/>
    </row>
  </sheetData>
  <phoneticPr fontId="23" type="noConversion"/>
  <dataValidations count="1">
    <dataValidation type="list" allowBlank="1" showInputMessage="1" showErrorMessage="1" sqref="B2:B14" xr:uid="{971FCCAA-69DD-4DAE-9ADC-A0F475C53836}">
      <formula1>"More,Less"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S942"/>
  <sheetViews>
    <sheetView zoomScale="115" zoomScaleNormal="115" workbookViewId="0">
      <selection activeCell="A2" sqref="A2"/>
    </sheetView>
  </sheetViews>
  <sheetFormatPr defaultColWidth="0" defaultRowHeight="12.75" x14ac:dyDescent="0.2"/>
  <cols>
    <col min="1" max="1" width="46.5703125" style="72" customWidth="1"/>
    <col min="2" max="2" width="12.5703125" style="66" customWidth="1"/>
    <col min="3" max="3" width="12.5703125" style="67" customWidth="1"/>
    <col min="4" max="4" width="17.85546875" style="68" customWidth="1"/>
    <col min="5" max="5" width="8.140625" style="57" customWidth="1"/>
    <col min="6" max="7" width="8.140625" style="58" customWidth="1"/>
    <col min="8" max="17" width="8.140625" style="57" customWidth="1"/>
    <col min="18" max="18" width="9.140625" style="57" customWidth="1"/>
    <col min="19" max="19" width="14.42578125" style="1" customWidth="1"/>
    <col min="20" max="16384" width="14.42578125" style="1" hidden="1"/>
  </cols>
  <sheetData>
    <row r="1" spans="1:18" s="5" customFormat="1" ht="37.5" customHeight="1" x14ac:dyDescent="0.25">
      <c r="A1" s="69" t="s">
        <v>66</v>
      </c>
      <c r="B1" s="39" t="s">
        <v>17</v>
      </c>
      <c r="C1" s="40" t="s">
        <v>22</v>
      </c>
      <c r="D1" s="41" t="s">
        <v>25</v>
      </c>
      <c r="E1" s="36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</row>
    <row r="2" spans="1:18" s="5" customFormat="1" ht="18" x14ac:dyDescent="0.25">
      <c r="A2" s="73" t="s">
        <v>23</v>
      </c>
      <c r="B2" s="59"/>
      <c r="C2" s="60"/>
      <c r="D2" s="48"/>
      <c r="E2" s="42" t="str">
        <f>IFERROR((INDEX(Parameters_Soil!$B$2:$B$14,MATCH('1_Data'!E$1,Parameters_Soil!$A$2:$A$14,0),MATCH('1_Data'!$A$2,Parameters_Soil!$B$1:$B$1,0))),"")</f>
        <v/>
      </c>
      <c r="F2" s="42" t="str">
        <f>IFERROR((INDEX(Parameters_Soil!$B$2:$B$14,MATCH('1_Data'!F$1,Parameters_Soil!$A$2:$A$14,0),MATCH('1_Data'!$A$2,Parameters_Soil!$B$1:$B$1,0))),"")</f>
        <v/>
      </c>
      <c r="G2" s="42" t="str">
        <f>IFERROR((INDEX(Parameters_Soil!$B$2:$B$14,MATCH('1_Data'!G$1,Parameters_Soil!$A$2:$A$14,0),MATCH('1_Data'!$A$2,Parameters_Soil!$B$1:$B$1,0))),"")</f>
        <v/>
      </c>
      <c r="H2" s="42" t="str">
        <f>IFERROR((INDEX(Parameters_Soil!$B$2:$B$14,MATCH('1_Data'!H$1,Parameters_Soil!$A$2:$A$14,0),MATCH('1_Data'!$A$2,Parameters_Soil!$B$1:$B$1,0))),"")</f>
        <v/>
      </c>
      <c r="I2" s="42" t="str">
        <f>IFERROR((INDEX(Parameters_Soil!$B$2:$B$14,MATCH('1_Data'!I$1,Parameters_Soil!$A$2:$A$14,0),MATCH('1_Data'!$A$2,Parameters_Soil!$B$1:$B$1,0))),"")</f>
        <v/>
      </c>
      <c r="J2" s="42" t="str">
        <f>IFERROR((INDEX(Parameters_Soil!$B$2:$B$14,MATCH('1_Data'!J$1,Parameters_Soil!$A$2:$A$14,0),MATCH('1_Data'!$A$2,Parameters_Soil!$B$1:$B$1,0))),"")</f>
        <v/>
      </c>
      <c r="K2" s="42" t="str">
        <f>IFERROR((INDEX(Parameters_Soil!$B$2:$B$14,MATCH('1_Data'!K$1,Parameters_Soil!$A$2:$A$14,0),MATCH('1_Data'!$A$2,Parameters_Soil!$B$1:$B$1,0))),"")</f>
        <v/>
      </c>
      <c r="L2" s="42" t="str">
        <f>IFERROR((INDEX(Parameters_Soil!$B$2:$B$14,MATCH('1_Data'!L$1,Parameters_Soil!$A$2:$A$14,0),MATCH('1_Data'!$A$2,Parameters_Soil!$B$1:$B$1,0))),"")</f>
        <v/>
      </c>
      <c r="M2" s="42" t="str">
        <f>IFERROR((INDEX(Parameters_Soil!$B$2:$B$14,MATCH('1_Data'!M$1,Parameters_Soil!$A$2:$A$14,0),MATCH('1_Data'!$A$2,Parameters_Soil!$B$1:$B$1,0))),"")</f>
        <v/>
      </c>
      <c r="N2" s="42" t="str">
        <f>IFERROR((INDEX(Parameters_Soil!$B$2:$B$14,MATCH('1_Data'!N$1,Parameters_Soil!$A$2:$A$14,0),MATCH('1_Data'!$A$2,Parameters_Soil!$B$1:$B$1,0))),"")</f>
        <v/>
      </c>
      <c r="O2" s="42" t="str">
        <f>IFERROR((INDEX(Parameters_Soil!$B$2:$B$14,MATCH('1_Data'!O$1,Parameters_Soil!$A$2:$A$14,0),MATCH('1_Data'!$A$2,Parameters_Soil!$B$1:$B$1,0))),"")</f>
        <v/>
      </c>
      <c r="P2" s="42" t="str">
        <f>IFERROR((INDEX(Parameters_Soil!$B$2:$B$14,MATCH('1_Data'!P$1,Parameters_Soil!$A$2:$A$14,0),MATCH('1_Data'!$A$2,Parameters_Soil!$B$1:$B$1,0))),"")</f>
        <v/>
      </c>
      <c r="Q2" s="42" t="str">
        <f>IFERROR((INDEX(Parameters_Soil!$B$2:$B$14,MATCH('1_Data'!Q$1,Parameters_Soil!$A$2:$A$14,0),MATCH('1_Data'!$A$2,Parameters_Soil!$B$1:$B$1,0))),"")</f>
        <v/>
      </c>
      <c r="R2" s="43" t="str">
        <f>IFERROR((INDEX(Parameters_Soil!$B$2:$B$14,MATCH('1_Data'!R$1,Parameters_Soil!$A$2:$A$14,0),MATCH('1_Data'!$A$2,Parameters_Soil!$B$1:$B$1,0))),"")</f>
        <v/>
      </c>
    </row>
    <row r="3" spans="1:18" s="29" customFormat="1" ht="15" x14ac:dyDescent="0.25">
      <c r="A3" s="70"/>
      <c r="B3" s="61"/>
      <c r="C3" s="26"/>
      <c r="D3" s="62"/>
      <c r="E3" s="27"/>
      <c r="F3" s="27"/>
      <c r="G3" s="27"/>
      <c r="H3" s="27"/>
      <c r="I3" s="27"/>
      <c r="J3" s="27"/>
      <c r="K3" s="27"/>
      <c r="L3" s="27"/>
      <c r="M3" s="56"/>
      <c r="N3" s="28"/>
      <c r="O3" s="28"/>
      <c r="P3" s="28"/>
      <c r="Q3" s="28"/>
      <c r="R3" s="56"/>
    </row>
    <row r="4" spans="1:18" s="29" customFormat="1" ht="15" x14ac:dyDescent="0.25">
      <c r="A4" s="70"/>
      <c r="B4" s="61"/>
      <c r="C4" s="26"/>
      <c r="D4" s="62"/>
      <c r="E4" s="27"/>
      <c r="F4" s="27"/>
      <c r="G4" s="27"/>
      <c r="H4" s="27"/>
      <c r="I4" s="27"/>
      <c r="J4" s="27"/>
      <c r="K4" s="27"/>
      <c r="L4" s="27"/>
      <c r="M4" s="56"/>
      <c r="N4" s="28"/>
      <c r="O4" s="28"/>
      <c r="P4" s="28"/>
      <c r="Q4" s="28"/>
      <c r="R4" s="56"/>
    </row>
    <row r="5" spans="1:18" s="29" customFormat="1" ht="15" x14ac:dyDescent="0.25">
      <c r="A5" s="70"/>
      <c r="B5" s="61"/>
      <c r="C5" s="26"/>
      <c r="D5" s="62"/>
      <c r="E5" s="27"/>
      <c r="F5" s="27"/>
      <c r="G5" s="27"/>
      <c r="H5" s="27"/>
      <c r="I5" s="27"/>
      <c r="J5" s="27"/>
      <c r="K5" s="27"/>
      <c r="L5" s="27"/>
      <c r="M5" s="56"/>
      <c r="N5" s="56"/>
      <c r="O5" s="56"/>
      <c r="P5" s="56"/>
      <c r="Q5" s="56"/>
      <c r="R5" s="56"/>
    </row>
    <row r="6" spans="1:18" s="29" customFormat="1" ht="15" x14ac:dyDescent="0.25">
      <c r="A6" s="70"/>
      <c r="B6" s="61"/>
      <c r="C6" s="26"/>
      <c r="D6" s="62"/>
      <c r="E6" s="27"/>
      <c r="F6" s="27"/>
      <c r="G6" s="27"/>
      <c r="H6" s="27"/>
      <c r="I6" s="27"/>
      <c r="J6" s="27"/>
      <c r="K6" s="27"/>
      <c r="L6" s="27"/>
      <c r="M6" s="56"/>
      <c r="N6" s="28"/>
      <c r="O6" s="28"/>
      <c r="P6" s="28"/>
      <c r="Q6" s="28"/>
      <c r="R6" s="56"/>
    </row>
    <row r="7" spans="1:18" s="29" customFormat="1" ht="15" x14ac:dyDescent="0.25">
      <c r="A7" s="70"/>
      <c r="B7" s="61"/>
      <c r="C7" s="26"/>
      <c r="D7" s="62"/>
      <c r="E7" s="27"/>
      <c r="F7" s="27"/>
      <c r="G7" s="27"/>
      <c r="H7" s="27"/>
      <c r="I7" s="27"/>
      <c r="J7" s="27"/>
      <c r="K7" s="27"/>
      <c r="L7" s="27"/>
      <c r="M7" s="56"/>
      <c r="N7" s="28"/>
      <c r="O7" s="28"/>
      <c r="P7" s="28"/>
      <c r="Q7" s="28"/>
      <c r="R7" s="56"/>
    </row>
    <row r="8" spans="1:18" s="29" customFormat="1" ht="15" x14ac:dyDescent="0.25">
      <c r="A8" s="70"/>
      <c r="B8" s="61"/>
      <c r="C8" s="26"/>
      <c r="D8" s="62"/>
      <c r="E8" s="27"/>
      <c r="F8" s="27"/>
      <c r="G8" s="27"/>
      <c r="H8" s="27"/>
      <c r="I8" s="27"/>
      <c r="J8" s="27"/>
      <c r="K8" s="27"/>
      <c r="L8" s="27"/>
      <c r="M8" s="56"/>
      <c r="N8" s="28"/>
      <c r="O8" s="28"/>
      <c r="P8" s="28"/>
      <c r="Q8" s="28"/>
      <c r="R8" s="56"/>
    </row>
    <row r="9" spans="1:18" s="29" customFormat="1" ht="15" x14ac:dyDescent="0.25">
      <c r="A9" s="70"/>
      <c r="B9" s="61"/>
      <c r="C9" s="26"/>
      <c r="D9" s="62"/>
      <c r="E9" s="27"/>
      <c r="F9" s="27"/>
      <c r="G9" s="27"/>
      <c r="H9" s="27"/>
      <c r="I9" s="27"/>
      <c r="J9" s="27"/>
      <c r="K9" s="27"/>
      <c r="L9" s="27"/>
      <c r="M9" s="56"/>
      <c r="N9" s="28"/>
      <c r="O9" s="28"/>
      <c r="P9" s="28"/>
      <c r="Q9" s="28"/>
      <c r="R9" s="56"/>
    </row>
    <row r="10" spans="1:18" s="29" customFormat="1" ht="15" x14ac:dyDescent="0.25">
      <c r="A10" s="70"/>
      <c r="B10" s="61"/>
      <c r="C10" s="26"/>
      <c r="D10" s="62"/>
      <c r="E10" s="27"/>
      <c r="F10" s="27"/>
      <c r="G10" s="27"/>
      <c r="H10" s="27"/>
      <c r="I10" s="27"/>
      <c r="J10" s="27"/>
      <c r="K10" s="27"/>
      <c r="L10" s="27"/>
      <c r="M10" s="56"/>
      <c r="N10" s="28"/>
      <c r="O10" s="28"/>
      <c r="P10" s="28"/>
      <c r="Q10" s="28"/>
      <c r="R10" s="56"/>
    </row>
    <row r="11" spans="1:18" s="29" customFormat="1" ht="15" x14ac:dyDescent="0.25">
      <c r="A11" s="70"/>
      <c r="B11" s="61"/>
      <c r="C11" s="26"/>
      <c r="D11" s="62"/>
      <c r="E11" s="27"/>
      <c r="F11" s="27"/>
      <c r="G11" s="27"/>
      <c r="H11" s="27"/>
      <c r="I11" s="27"/>
      <c r="J11" s="27"/>
      <c r="K11" s="27"/>
      <c r="L11" s="27"/>
      <c r="M11" s="56"/>
      <c r="N11" s="28"/>
      <c r="O11" s="28"/>
      <c r="P11" s="28"/>
      <c r="Q11" s="28"/>
      <c r="R11" s="56"/>
    </row>
    <row r="12" spans="1:18" s="29" customFormat="1" ht="15" x14ac:dyDescent="0.25">
      <c r="A12" s="70"/>
      <c r="B12" s="61"/>
      <c r="C12" s="26"/>
      <c r="D12" s="62"/>
      <c r="E12" s="27"/>
      <c r="F12" s="27"/>
      <c r="G12" s="27"/>
      <c r="H12" s="27"/>
      <c r="I12" s="27"/>
      <c r="J12" s="27"/>
      <c r="K12" s="27"/>
      <c r="L12" s="27"/>
      <c r="M12" s="56"/>
      <c r="N12" s="28"/>
      <c r="O12" s="28"/>
      <c r="P12" s="28"/>
      <c r="Q12" s="28"/>
      <c r="R12" s="56"/>
    </row>
    <row r="13" spans="1:18" ht="15" x14ac:dyDescent="0.25">
      <c r="A13" s="71"/>
      <c r="B13" s="63"/>
      <c r="C13" s="64"/>
      <c r="D13" s="65"/>
      <c r="E13" s="6"/>
      <c r="F13" s="6"/>
      <c r="G13" s="6"/>
      <c r="H13" s="6"/>
      <c r="I13" s="6"/>
      <c r="J13" s="6"/>
      <c r="K13" s="6"/>
      <c r="L13" s="6"/>
      <c r="N13" s="10"/>
      <c r="O13" s="10"/>
      <c r="P13" s="10"/>
      <c r="Q13" s="10"/>
    </row>
    <row r="14" spans="1:18" ht="15" x14ac:dyDescent="0.25">
      <c r="A14" s="71"/>
      <c r="B14" s="63"/>
      <c r="C14" s="64"/>
      <c r="D14" s="65"/>
      <c r="E14" s="6"/>
      <c r="F14" s="6"/>
      <c r="G14" s="6"/>
      <c r="H14" s="6"/>
      <c r="I14" s="6"/>
      <c r="J14" s="6"/>
      <c r="K14" s="6"/>
      <c r="L14" s="6"/>
      <c r="N14" s="10"/>
      <c r="O14" s="10"/>
      <c r="P14" s="10"/>
      <c r="Q14" s="10"/>
    </row>
    <row r="15" spans="1:18" ht="15" x14ac:dyDescent="0.25">
      <c r="A15" s="71"/>
      <c r="B15" s="63"/>
      <c r="C15" s="64"/>
      <c r="D15" s="65"/>
      <c r="E15" s="6"/>
      <c r="F15" s="6"/>
      <c r="G15" s="6"/>
      <c r="H15" s="6"/>
      <c r="I15" s="6"/>
      <c r="J15" s="6"/>
      <c r="K15" s="6"/>
      <c r="L15" s="6"/>
      <c r="N15" s="10"/>
      <c r="O15" s="10"/>
      <c r="P15" s="10"/>
      <c r="Q15" s="10"/>
    </row>
    <row r="16" spans="1:18" ht="15" x14ac:dyDescent="0.25">
      <c r="A16" s="71"/>
      <c r="B16" s="63"/>
      <c r="C16" s="64"/>
      <c r="D16" s="65"/>
      <c r="E16" s="6"/>
      <c r="F16" s="6"/>
      <c r="G16" s="6"/>
      <c r="H16" s="6"/>
      <c r="I16" s="6"/>
      <c r="J16" s="6"/>
      <c r="K16" s="6"/>
      <c r="L16" s="6"/>
      <c r="N16" s="10"/>
      <c r="O16" s="10"/>
      <c r="P16" s="10"/>
      <c r="Q16" s="10"/>
    </row>
    <row r="17" spans="1:17" ht="15" x14ac:dyDescent="0.25">
      <c r="A17" s="71"/>
      <c r="B17" s="63"/>
      <c r="C17" s="64"/>
      <c r="D17" s="65"/>
      <c r="E17" s="6"/>
      <c r="F17" s="6"/>
      <c r="G17" s="6"/>
      <c r="H17" s="6"/>
      <c r="I17" s="6"/>
      <c r="J17" s="6"/>
      <c r="K17" s="6"/>
      <c r="L17" s="6"/>
      <c r="N17" s="10"/>
      <c r="O17" s="10"/>
      <c r="P17" s="10"/>
      <c r="Q17" s="10"/>
    </row>
    <row r="18" spans="1:17" ht="15" x14ac:dyDescent="0.25">
      <c r="A18" s="71"/>
      <c r="B18" s="63"/>
      <c r="C18" s="64"/>
      <c r="D18" s="65"/>
      <c r="E18" s="6"/>
      <c r="F18" s="6"/>
      <c r="G18" s="6"/>
      <c r="H18" s="6"/>
      <c r="I18" s="6"/>
      <c r="J18" s="6"/>
      <c r="K18" s="6"/>
      <c r="L18" s="6"/>
      <c r="N18" s="10"/>
      <c r="O18" s="10"/>
      <c r="P18" s="10"/>
      <c r="Q18" s="10"/>
    </row>
    <row r="19" spans="1:17" ht="15" x14ac:dyDescent="0.25">
      <c r="A19" s="71"/>
      <c r="B19" s="63"/>
      <c r="C19" s="64"/>
      <c r="D19" s="65"/>
      <c r="E19" s="6"/>
      <c r="F19" s="6"/>
      <c r="G19" s="6"/>
      <c r="H19" s="6"/>
      <c r="I19" s="6"/>
      <c r="J19" s="6"/>
      <c r="K19" s="6"/>
      <c r="L19" s="6"/>
      <c r="N19" s="10"/>
      <c r="O19" s="10"/>
      <c r="P19" s="10"/>
      <c r="Q19" s="10"/>
    </row>
    <row r="20" spans="1:17" ht="15" x14ac:dyDescent="0.25">
      <c r="A20" s="71"/>
      <c r="B20" s="63"/>
      <c r="C20" s="64"/>
      <c r="D20" s="65"/>
      <c r="E20" s="6"/>
      <c r="F20" s="6"/>
      <c r="G20" s="6"/>
      <c r="H20" s="6"/>
      <c r="I20" s="6"/>
      <c r="J20" s="6"/>
      <c r="K20" s="6"/>
      <c r="L20" s="6"/>
      <c r="N20" s="10"/>
      <c r="O20" s="10"/>
      <c r="P20" s="10"/>
      <c r="Q20" s="10"/>
    </row>
    <row r="21" spans="1:17" ht="15" x14ac:dyDescent="0.25">
      <c r="A21" s="71"/>
      <c r="B21" s="63"/>
      <c r="C21" s="64"/>
      <c r="D21" s="65"/>
      <c r="E21" s="6"/>
      <c r="F21" s="6"/>
      <c r="G21" s="6"/>
      <c r="H21" s="6"/>
      <c r="I21" s="6"/>
      <c r="J21" s="6"/>
      <c r="K21" s="6"/>
      <c r="L21" s="6"/>
      <c r="N21" s="10"/>
      <c r="O21" s="10"/>
      <c r="P21" s="10"/>
      <c r="Q21" s="10"/>
    </row>
    <row r="22" spans="1:17" ht="15" x14ac:dyDescent="0.25">
      <c r="A22" s="71"/>
      <c r="B22" s="63"/>
      <c r="C22" s="64"/>
      <c r="D22" s="65"/>
      <c r="E22" s="6"/>
      <c r="F22" s="6"/>
      <c r="G22" s="6"/>
      <c r="H22" s="6"/>
      <c r="I22" s="6"/>
      <c r="J22" s="6"/>
      <c r="K22" s="6"/>
      <c r="L22" s="6"/>
      <c r="N22" s="10"/>
      <c r="O22" s="10"/>
      <c r="P22" s="10"/>
      <c r="Q22" s="10"/>
    </row>
    <row r="23" spans="1:17" ht="15" x14ac:dyDescent="0.25">
      <c r="A23" s="71"/>
      <c r="B23" s="63"/>
      <c r="C23" s="64"/>
      <c r="D23" s="65"/>
      <c r="E23" s="6"/>
      <c r="F23" s="6"/>
      <c r="G23" s="6"/>
      <c r="H23" s="6"/>
      <c r="I23" s="6"/>
      <c r="J23" s="6"/>
      <c r="K23" s="6"/>
      <c r="L23" s="6"/>
      <c r="N23" s="10"/>
      <c r="O23" s="10"/>
      <c r="P23" s="10"/>
      <c r="Q23" s="10"/>
    </row>
    <row r="24" spans="1:17" ht="15" x14ac:dyDescent="0.25">
      <c r="A24" s="71"/>
      <c r="B24" s="63"/>
      <c r="C24" s="64"/>
      <c r="D24" s="65"/>
      <c r="E24" s="6"/>
      <c r="F24" s="6"/>
      <c r="G24" s="6"/>
      <c r="H24" s="6"/>
      <c r="I24" s="6"/>
      <c r="J24" s="6"/>
      <c r="K24" s="6"/>
      <c r="L24" s="6"/>
      <c r="N24" s="10"/>
      <c r="O24" s="10"/>
      <c r="P24" s="10"/>
      <c r="Q24" s="10"/>
    </row>
    <row r="25" spans="1:17" ht="15" x14ac:dyDescent="0.25">
      <c r="A25" s="71"/>
      <c r="B25" s="63"/>
      <c r="C25" s="64"/>
      <c r="D25" s="65"/>
      <c r="E25" s="6"/>
      <c r="F25" s="6"/>
      <c r="G25" s="6"/>
      <c r="H25" s="6"/>
      <c r="I25" s="6"/>
      <c r="J25" s="6"/>
      <c r="K25" s="6"/>
      <c r="L25" s="6"/>
      <c r="N25" s="10"/>
      <c r="O25" s="10"/>
      <c r="P25" s="10"/>
      <c r="Q25" s="10"/>
    </row>
    <row r="26" spans="1:17" ht="15" x14ac:dyDescent="0.25">
      <c r="A26" s="71"/>
      <c r="B26" s="63"/>
      <c r="C26" s="64"/>
      <c r="D26" s="65"/>
      <c r="E26" s="6"/>
      <c r="F26" s="6"/>
      <c r="G26" s="6"/>
      <c r="H26" s="6"/>
      <c r="I26" s="6"/>
      <c r="J26" s="6"/>
      <c r="K26" s="6"/>
      <c r="L26" s="6"/>
      <c r="N26" s="10"/>
      <c r="O26" s="10"/>
      <c r="P26" s="10"/>
      <c r="Q26" s="10"/>
    </row>
    <row r="27" spans="1:17" ht="15" x14ac:dyDescent="0.25">
      <c r="A27" s="71"/>
      <c r="B27" s="63"/>
      <c r="C27" s="64"/>
      <c r="D27" s="65"/>
      <c r="E27" s="6"/>
      <c r="F27" s="6"/>
      <c r="G27" s="6"/>
      <c r="H27" s="6"/>
      <c r="I27" s="6"/>
      <c r="J27" s="6"/>
      <c r="K27" s="6"/>
      <c r="L27" s="6"/>
      <c r="N27" s="10"/>
      <c r="O27" s="10"/>
      <c r="P27" s="10"/>
      <c r="Q27" s="10"/>
    </row>
    <row r="28" spans="1:17" ht="15" x14ac:dyDescent="0.25">
      <c r="A28" s="71"/>
      <c r="B28" s="63"/>
      <c r="C28" s="64"/>
      <c r="D28" s="65"/>
      <c r="E28" s="6"/>
      <c r="F28" s="6"/>
      <c r="G28" s="6"/>
      <c r="H28" s="6"/>
      <c r="I28" s="6"/>
      <c r="J28" s="6"/>
      <c r="K28" s="6"/>
      <c r="L28" s="6"/>
      <c r="N28" s="10"/>
      <c r="O28" s="10"/>
      <c r="P28" s="10"/>
      <c r="Q28" s="10"/>
    </row>
    <row r="29" spans="1:17" ht="15" x14ac:dyDescent="0.25">
      <c r="A29" s="71"/>
      <c r="B29" s="63"/>
      <c r="C29" s="64"/>
      <c r="D29" s="65"/>
      <c r="E29" s="6"/>
      <c r="F29" s="6"/>
      <c r="G29" s="6"/>
      <c r="H29" s="6"/>
      <c r="I29" s="6"/>
      <c r="J29" s="6"/>
      <c r="K29" s="6"/>
      <c r="L29" s="6"/>
      <c r="N29" s="10"/>
      <c r="O29" s="10"/>
      <c r="P29" s="10"/>
      <c r="Q29" s="10"/>
    </row>
    <row r="30" spans="1:17" ht="15" x14ac:dyDescent="0.25">
      <c r="A30" s="71"/>
      <c r="B30" s="63"/>
      <c r="C30" s="64"/>
      <c r="D30" s="65"/>
      <c r="E30" s="6"/>
      <c r="F30" s="6"/>
      <c r="G30" s="6"/>
      <c r="H30" s="6"/>
      <c r="I30" s="6"/>
      <c r="J30" s="6"/>
      <c r="K30" s="6"/>
      <c r="L30" s="6"/>
      <c r="N30" s="10"/>
      <c r="O30" s="10"/>
      <c r="P30" s="10"/>
      <c r="Q30" s="10"/>
    </row>
    <row r="31" spans="1:17" ht="15" x14ac:dyDescent="0.25">
      <c r="A31" s="71"/>
      <c r="B31" s="63"/>
      <c r="C31" s="64"/>
      <c r="D31" s="65"/>
      <c r="E31" s="6"/>
      <c r="F31" s="6"/>
      <c r="G31" s="6"/>
      <c r="H31" s="6"/>
      <c r="I31" s="6"/>
      <c r="J31" s="6"/>
      <c r="K31" s="6"/>
      <c r="L31" s="6"/>
      <c r="N31" s="10"/>
      <c r="O31" s="10"/>
      <c r="P31" s="10"/>
      <c r="Q31" s="10"/>
    </row>
    <row r="32" spans="1:17" ht="15" x14ac:dyDescent="0.25">
      <c r="A32" s="71"/>
      <c r="B32" s="63"/>
      <c r="C32" s="64"/>
      <c r="D32" s="65"/>
      <c r="E32" s="6"/>
      <c r="F32" s="6"/>
      <c r="G32" s="6"/>
      <c r="H32" s="6"/>
      <c r="I32" s="6"/>
      <c r="J32" s="6"/>
      <c r="K32" s="6"/>
      <c r="L32" s="6"/>
      <c r="N32" s="10"/>
      <c r="O32" s="10"/>
      <c r="P32" s="10"/>
      <c r="Q32" s="10"/>
    </row>
    <row r="33" spans="1:17" ht="15" x14ac:dyDescent="0.25">
      <c r="A33" s="71"/>
      <c r="B33" s="63"/>
      <c r="C33" s="64"/>
      <c r="D33" s="65"/>
      <c r="E33" s="6"/>
      <c r="F33" s="6"/>
      <c r="G33" s="6"/>
      <c r="H33" s="6"/>
      <c r="I33" s="6"/>
      <c r="J33" s="6"/>
      <c r="K33" s="6"/>
      <c r="L33" s="6"/>
      <c r="N33" s="10"/>
      <c r="O33" s="10"/>
      <c r="P33" s="10"/>
      <c r="Q33" s="10"/>
    </row>
    <row r="34" spans="1:17" ht="15" x14ac:dyDescent="0.25">
      <c r="A34" s="71"/>
      <c r="B34" s="63"/>
      <c r="C34" s="64"/>
      <c r="D34" s="65"/>
      <c r="E34" s="6"/>
      <c r="F34" s="6"/>
      <c r="G34" s="6"/>
      <c r="H34" s="6"/>
      <c r="I34" s="6"/>
      <c r="J34" s="6"/>
      <c r="K34" s="6"/>
      <c r="L34" s="6"/>
      <c r="N34" s="10"/>
      <c r="O34" s="10"/>
      <c r="P34" s="10"/>
      <c r="Q34" s="10"/>
    </row>
    <row r="35" spans="1:17" ht="15" x14ac:dyDescent="0.25">
      <c r="A35" s="71"/>
      <c r="B35" s="63"/>
      <c r="C35" s="64"/>
      <c r="D35" s="65"/>
      <c r="E35" s="6"/>
      <c r="F35" s="6"/>
      <c r="G35" s="6"/>
      <c r="H35" s="6"/>
      <c r="I35" s="6"/>
      <c r="J35" s="6"/>
      <c r="K35" s="6"/>
      <c r="L35" s="6"/>
      <c r="N35" s="10"/>
      <c r="O35" s="10"/>
      <c r="P35" s="10"/>
      <c r="Q35" s="10"/>
    </row>
    <row r="36" spans="1:17" ht="15" x14ac:dyDescent="0.25">
      <c r="A36" s="71"/>
      <c r="B36" s="63"/>
      <c r="C36" s="64"/>
      <c r="D36" s="65"/>
      <c r="E36" s="6"/>
      <c r="F36" s="6"/>
      <c r="G36" s="6"/>
      <c r="H36" s="6"/>
      <c r="I36" s="6"/>
      <c r="J36" s="6"/>
      <c r="K36" s="6"/>
      <c r="L36" s="6"/>
      <c r="N36" s="10"/>
      <c r="O36" s="10"/>
      <c r="P36" s="10"/>
      <c r="Q36" s="10"/>
    </row>
    <row r="37" spans="1:17" ht="15" x14ac:dyDescent="0.25">
      <c r="A37" s="71"/>
      <c r="B37" s="63"/>
      <c r="C37" s="64"/>
      <c r="D37" s="65"/>
      <c r="E37" s="6"/>
      <c r="F37" s="6"/>
      <c r="G37" s="6"/>
      <c r="H37" s="6"/>
      <c r="I37" s="6"/>
      <c r="J37" s="6"/>
      <c r="K37" s="6"/>
      <c r="L37" s="6"/>
      <c r="N37" s="10"/>
      <c r="O37" s="10"/>
      <c r="P37" s="10"/>
      <c r="Q37" s="10"/>
    </row>
    <row r="38" spans="1:17" ht="15" x14ac:dyDescent="0.25">
      <c r="A38" s="71"/>
      <c r="B38" s="63"/>
      <c r="C38" s="64"/>
      <c r="D38" s="65"/>
      <c r="E38" s="6"/>
      <c r="F38" s="6"/>
      <c r="G38" s="6"/>
      <c r="H38" s="6"/>
      <c r="I38" s="6"/>
      <c r="J38" s="6"/>
      <c r="K38" s="6"/>
      <c r="L38" s="6"/>
      <c r="N38" s="10"/>
      <c r="O38" s="10"/>
      <c r="P38" s="10"/>
      <c r="Q38" s="10"/>
    </row>
    <row r="39" spans="1:17" ht="15" x14ac:dyDescent="0.25">
      <c r="A39" s="71"/>
      <c r="B39" s="63"/>
      <c r="C39" s="64"/>
      <c r="D39" s="65"/>
      <c r="E39" s="6"/>
      <c r="F39" s="6"/>
      <c r="G39" s="6"/>
      <c r="H39" s="6"/>
      <c r="I39" s="6"/>
      <c r="J39" s="6"/>
      <c r="K39" s="6"/>
      <c r="L39" s="6"/>
      <c r="N39" s="10"/>
      <c r="O39" s="10"/>
      <c r="P39" s="10"/>
      <c r="Q39" s="10"/>
    </row>
    <row r="40" spans="1:17" ht="15" x14ac:dyDescent="0.25">
      <c r="A40" s="71"/>
      <c r="B40" s="63"/>
      <c r="C40" s="64"/>
      <c r="D40" s="65"/>
      <c r="E40" s="6"/>
      <c r="F40" s="6"/>
      <c r="G40" s="6"/>
      <c r="H40" s="6"/>
      <c r="I40" s="6"/>
      <c r="J40" s="6"/>
      <c r="K40" s="6"/>
      <c r="L40" s="6"/>
      <c r="N40" s="10"/>
      <c r="O40" s="10"/>
      <c r="P40" s="10"/>
      <c r="Q40" s="10"/>
    </row>
    <row r="41" spans="1:17" ht="15" x14ac:dyDescent="0.25">
      <c r="A41" s="71"/>
      <c r="B41" s="63"/>
      <c r="C41" s="64"/>
      <c r="D41" s="65"/>
      <c r="E41" s="6"/>
      <c r="F41" s="6"/>
      <c r="G41" s="6"/>
      <c r="H41" s="6"/>
      <c r="I41" s="6"/>
      <c r="J41" s="6"/>
      <c r="K41" s="6"/>
      <c r="L41" s="6"/>
      <c r="N41" s="10"/>
      <c r="O41" s="10"/>
      <c r="P41" s="10"/>
      <c r="Q41" s="10"/>
    </row>
    <row r="42" spans="1:17" ht="15" x14ac:dyDescent="0.25">
      <c r="A42" s="71"/>
      <c r="B42" s="63"/>
      <c r="C42" s="64"/>
      <c r="D42" s="65"/>
      <c r="E42" s="6"/>
      <c r="F42" s="6"/>
      <c r="G42" s="6"/>
      <c r="H42" s="6"/>
      <c r="I42" s="6"/>
      <c r="J42" s="6"/>
      <c r="K42" s="6"/>
      <c r="L42" s="6"/>
      <c r="N42" s="10"/>
      <c r="O42" s="10"/>
      <c r="P42" s="10"/>
      <c r="Q42" s="10"/>
    </row>
    <row r="43" spans="1:17" ht="15" x14ac:dyDescent="0.25">
      <c r="A43" s="71"/>
      <c r="B43" s="63"/>
      <c r="C43" s="64"/>
      <c r="D43" s="65"/>
      <c r="E43" s="6"/>
      <c r="F43" s="6"/>
      <c r="G43" s="6"/>
      <c r="H43" s="6"/>
      <c r="I43" s="6"/>
      <c r="J43" s="6"/>
      <c r="K43" s="6"/>
      <c r="L43" s="6"/>
      <c r="N43" s="10"/>
      <c r="O43" s="10"/>
      <c r="P43" s="10"/>
      <c r="Q43" s="10"/>
    </row>
    <row r="44" spans="1:17" ht="15" x14ac:dyDescent="0.25">
      <c r="A44" s="71"/>
      <c r="B44" s="63"/>
      <c r="C44" s="64"/>
      <c r="D44" s="65"/>
      <c r="E44" s="6"/>
      <c r="F44" s="6"/>
      <c r="G44" s="6"/>
      <c r="H44" s="6"/>
      <c r="I44" s="6"/>
      <c r="J44" s="6"/>
      <c r="K44" s="6"/>
      <c r="L44" s="6"/>
      <c r="N44" s="10"/>
      <c r="O44" s="10"/>
      <c r="P44" s="10"/>
      <c r="Q44" s="10"/>
    </row>
    <row r="45" spans="1:17" ht="15" x14ac:dyDescent="0.25">
      <c r="A45" s="71"/>
      <c r="B45" s="63"/>
      <c r="C45" s="64"/>
      <c r="D45" s="65"/>
      <c r="E45" s="6"/>
      <c r="F45" s="6"/>
      <c r="G45" s="6"/>
      <c r="H45" s="6"/>
      <c r="I45" s="6"/>
      <c r="J45" s="6"/>
      <c r="K45" s="6"/>
      <c r="L45" s="6"/>
      <c r="N45" s="10"/>
      <c r="O45" s="10"/>
      <c r="P45" s="10"/>
      <c r="Q45" s="10"/>
    </row>
    <row r="46" spans="1:17" ht="15" x14ac:dyDescent="0.25">
      <c r="A46" s="71"/>
      <c r="B46" s="63"/>
      <c r="C46" s="64"/>
      <c r="D46" s="65"/>
      <c r="E46" s="6"/>
      <c r="F46" s="6"/>
      <c r="G46" s="6"/>
      <c r="H46" s="6"/>
      <c r="I46" s="6"/>
      <c r="J46" s="6"/>
      <c r="K46" s="6"/>
      <c r="L46" s="6"/>
      <c r="N46" s="10"/>
      <c r="O46" s="10"/>
      <c r="P46" s="10"/>
      <c r="Q46" s="10"/>
    </row>
    <row r="47" spans="1:17" ht="15" x14ac:dyDescent="0.25">
      <c r="A47" s="71"/>
      <c r="B47" s="63"/>
      <c r="C47" s="64"/>
      <c r="D47" s="65"/>
      <c r="E47" s="6"/>
      <c r="F47" s="6"/>
      <c r="G47" s="6"/>
      <c r="H47" s="6"/>
      <c r="I47" s="6"/>
      <c r="J47" s="6"/>
      <c r="K47" s="6"/>
      <c r="L47" s="6"/>
      <c r="N47" s="10"/>
      <c r="O47" s="10"/>
      <c r="P47" s="10"/>
      <c r="Q47" s="10"/>
    </row>
    <row r="48" spans="1:17" ht="15" x14ac:dyDescent="0.25">
      <c r="A48" s="71"/>
      <c r="B48" s="63"/>
      <c r="C48" s="64"/>
      <c r="D48" s="65"/>
      <c r="E48" s="6"/>
      <c r="F48" s="6"/>
      <c r="G48" s="6"/>
      <c r="H48" s="6"/>
      <c r="I48" s="6"/>
      <c r="J48" s="6"/>
      <c r="K48" s="6"/>
      <c r="L48" s="6"/>
      <c r="N48" s="10"/>
      <c r="O48" s="10"/>
      <c r="P48" s="10"/>
      <c r="Q48" s="10"/>
    </row>
    <row r="49" spans="1:17" ht="15" x14ac:dyDescent="0.25">
      <c r="A49" s="71"/>
      <c r="B49" s="63"/>
      <c r="C49" s="64"/>
      <c r="D49" s="65"/>
      <c r="E49" s="6"/>
      <c r="F49" s="6"/>
      <c r="G49" s="6"/>
      <c r="H49" s="6"/>
      <c r="I49" s="6"/>
      <c r="J49" s="6"/>
      <c r="K49" s="6"/>
      <c r="L49" s="6"/>
      <c r="N49" s="10"/>
      <c r="O49" s="10"/>
      <c r="P49" s="10"/>
      <c r="Q49" s="10"/>
    </row>
    <row r="50" spans="1:17" ht="15" x14ac:dyDescent="0.25">
      <c r="A50" s="71"/>
      <c r="B50" s="63"/>
      <c r="C50" s="64"/>
      <c r="D50" s="65"/>
      <c r="E50" s="6"/>
      <c r="F50" s="6"/>
      <c r="G50" s="6"/>
      <c r="H50" s="6"/>
      <c r="I50" s="6"/>
      <c r="J50" s="6"/>
      <c r="K50" s="6"/>
      <c r="L50" s="6"/>
      <c r="N50" s="10"/>
      <c r="O50" s="10"/>
      <c r="P50" s="10"/>
      <c r="Q50" s="10"/>
    </row>
    <row r="51" spans="1:17" ht="15" x14ac:dyDescent="0.25">
      <c r="A51" s="71"/>
      <c r="B51" s="63"/>
      <c r="C51" s="64"/>
      <c r="D51" s="65"/>
      <c r="E51" s="6"/>
      <c r="F51" s="6"/>
      <c r="G51" s="6"/>
      <c r="H51" s="6"/>
      <c r="I51" s="6"/>
      <c r="J51" s="6"/>
      <c r="K51" s="6"/>
      <c r="L51" s="6"/>
      <c r="N51" s="10"/>
      <c r="O51" s="10"/>
      <c r="P51" s="10"/>
      <c r="Q51" s="10"/>
    </row>
    <row r="52" spans="1:17" ht="15" x14ac:dyDescent="0.25">
      <c r="A52" s="71"/>
      <c r="B52" s="63"/>
      <c r="C52" s="64"/>
      <c r="D52" s="65"/>
      <c r="E52" s="6"/>
      <c r="F52" s="6"/>
      <c r="G52" s="6"/>
      <c r="H52" s="6"/>
      <c r="I52" s="6"/>
      <c r="J52" s="6"/>
      <c r="K52" s="6"/>
      <c r="L52" s="6"/>
    </row>
    <row r="53" spans="1:17" ht="15" x14ac:dyDescent="0.25">
      <c r="A53" s="71"/>
      <c r="B53" s="63"/>
      <c r="C53" s="64"/>
      <c r="D53" s="65"/>
      <c r="E53" s="6"/>
      <c r="F53" s="6"/>
      <c r="G53" s="6"/>
      <c r="H53" s="6"/>
      <c r="I53" s="6"/>
      <c r="J53" s="6"/>
      <c r="K53" s="6"/>
      <c r="L53" s="6"/>
    </row>
    <row r="54" spans="1:17" ht="15" x14ac:dyDescent="0.25">
      <c r="A54" s="71"/>
      <c r="B54" s="63"/>
      <c r="C54" s="64"/>
      <c r="D54" s="65"/>
      <c r="E54" s="6"/>
      <c r="F54" s="6"/>
      <c r="G54" s="6"/>
      <c r="H54" s="6"/>
      <c r="I54" s="6"/>
      <c r="J54" s="6"/>
      <c r="K54" s="6"/>
      <c r="L54" s="6"/>
    </row>
    <row r="55" spans="1:17" ht="15" x14ac:dyDescent="0.25">
      <c r="A55" s="71"/>
      <c r="B55" s="63"/>
      <c r="C55" s="64"/>
      <c r="D55" s="65"/>
      <c r="E55" s="6"/>
      <c r="F55" s="6"/>
      <c r="G55" s="6"/>
      <c r="H55" s="6"/>
      <c r="I55" s="6"/>
      <c r="J55" s="6"/>
      <c r="K55" s="6"/>
      <c r="L55" s="6"/>
    </row>
    <row r="56" spans="1:17" ht="15" x14ac:dyDescent="0.25">
      <c r="A56" s="71"/>
      <c r="B56" s="63"/>
      <c r="C56" s="64"/>
      <c r="D56" s="65"/>
      <c r="E56" s="6"/>
      <c r="F56" s="6"/>
      <c r="G56" s="6"/>
      <c r="H56" s="6"/>
      <c r="I56" s="6"/>
      <c r="J56" s="6"/>
      <c r="K56" s="6"/>
      <c r="L56" s="6"/>
    </row>
    <row r="57" spans="1:17" ht="15" x14ac:dyDescent="0.25">
      <c r="A57" s="71"/>
      <c r="B57" s="63"/>
      <c r="C57" s="64"/>
      <c r="D57" s="65"/>
      <c r="E57" s="6"/>
      <c r="F57" s="6"/>
      <c r="G57" s="6"/>
      <c r="H57" s="6"/>
      <c r="I57" s="6"/>
      <c r="J57" s="6"/>
      <c r="K57" s="6"/>
      <c r="L57" s="6"/>
    </row>
    <row r="58" spans="1:17" ht="15" x14ac:dyDescent="0.25">
      <c r="A58" s="71"/>
      <c r="B58" s="63"/>
      <c r="C58" s="64"/>
      <c r="D58" s="65"/>
      <c r="E58" s="6"/>
      <c r="F58" s="6"/>
      <c r="G58" s="6"/>
      <c r="H58" s="6"/>
      <c r="I58" s="6"/>
      <c r="J58" s="6"/>
      <c r="K58" s="6"/>
      <c r="L58" s="6"/>
    </row>
    <row r="59" spans="1:17" ht="15" x14ac:dyDescent="0.25">
      <c r="A59" s="71"/>
      <c r="B59" s="63"/>
      <c r="C59" s="64"/>
      <c r="D59" s="65"/>
      <c r="E59" s="6"/>
      <c r="F59" s="6"/>
      <c r="G59" s="6"/>
      <c r="H59" s="6"/>
      <c r="I59" s="6"/>
      <c r="J59" s="6"/>
      <c r="K59" s="6"/>
      <c r="L59" s="6"/>
    </row>
    <row r="60" spans="1:17" ht="15" x14ac:dyDescent="0.25">
      <c r="A60" s="71"/>
      <c r="B60" s="63"/>
      <c r="C60" s="64"/>
      <c r="D60" s="65"/>
      <c r="E60" s="6"/>
      <c r="F60" s="6"/>
      <c r="G60" s="6"/>
      <c r="H60" s="6"/>
      <c r="I60" s="6"/>
      <c r="J60" s="6"/>
      <c r="K60" s="6"/>
      <c r="L60" s="6"/>
    </row>
    <row r="61" spans="1:17" ht="15" x14ac:dyDescent="0.25">
      <c r="A61" s="71"/>
      <c r="B61" s="63"/>
      <c r="C61" s="64"/>
      <c r="D61" s="65"/>
      <c r="E61" s="6"/>
      <c r="F61" s="6"/>
      <c r="G61" s="6"/>
      <c r="H61" s="6"/>
      <c r="I61" s="6"/>
      <c r="J61" s="6"/>
      <c r="K61" s="6"/>
      <c r="L61" s="6"/>
    </row>
    <row r="62" spans="1:17" ht="15" x14ac:dyDescent="0.25">
      <c r="A62" s="71"/>
      <c r="B62" s="63"/>
      <c r="C62" s="64"/>
      <c r="D62" s="65"/>
      <c r="E62" s="6"/>
      <c r="F62" s="6"/>
      <c r="G62" s="6"/>
      <c r="H62" s="6"/>
      <c r="I62" s="6"/>
      <c r="J62" s="6"/>
      <c r="K62" s="6"/>
      <c r="L62" s="6"/>
    </row>
    <row r="63" spans="1:17" ht="15" x14ac:dyDescent="0.25">
      <c r="A63" s="71"/>
      <c r="B63" s="63"/>
      <c r="C63" s="64"/>
      <c r="D63" s="65"/>
      <c r="E63" s="6"/>
      <c r="F63" s="6"/>
      <c r="G63" s="6"/>
      <c r="H63" s="6"/>
      <c r="I63" s="6"/>
      <c r="J63" s="6"/>
      <c r="K63" s="6"/>
      <c r="L63" s="6"/>
    </row>
    <row r="64" spans="1:17" ht="15" x14ac:dyDescent="0.25">
      <c r="A64" s="71"/>
      <c r="B64" s="63"/>
      <c r="C64" s="64"/>
      <c r="D64" s="65"/>
      <c r="E64" s="6"/>
      <c r="F64" s="6"/>
      <c r="G64" s="6"/>
      <c r="H64" s="6"/>
      <c r="I64" s="6"/>
      <c r="J64" s="6"/>
      <c r="K64" s="6"/>
      <c r="L64" s="6"/>
    </row>
    <row r="65" spans="1:12" ht="15" x14ac:dyDescent="0.25">
      <c r="A65" s="71"/>
      <c r="B65" s="63"/>
      <c r="C65" s="64"/>
      <c r="D65" s="65"/>
      <c r="E65" s="6"/>
      <c r="F65" s="6"/>
      <c r="G65" s="6"/>
      <c r="H65" s="6"/>
      <c r="I65" s="6"/>
      <c r="J65" s="6"/>
      <c r="K65" s="6"/>
      <c r="L65" s="6"/>
    </row>
    <row r="66" spans="1:12" ht="15" x14ac:dyDescent="0.25">
      <c r="A66" s="71"/>
      <c r="B66" s="63"/>
      <c r="C66" s="64"/>
      <c r="D66" s="65"/>
      <c r="E66" s="6"/>
      <c r="F66" s="6"/>
      <c r="G66" s="6"/>
      <c r="H66" s="6"/>
      <c r="I66" s="6"/>
      <c r="J66" s="6"/>
      <c r="K66" s="6"/>
      <c r="L66" s="6"/>
    </row>
    <row r="67" spans="1:12" ht="15" x14ac:dyDescent="0.25">
      <c r="A67" s="71"/>
      <c r="B67" s="63"/>
      <c r="C67" s="64"/>
      <c r="D67" s="65"/>
      <c r="E67" s="6"/>
      <c r="F67" s="6"/>
      <c r="G67" s="6"/>
      <c r="H67" s="6"/>
      <c r="I67" s="6"/>
      <c r="J67" s="6"/>
      <c r="K67" s="6"/>
      <c r="L67" s="6"/>
    </row>
    <row r="68" spans="1:12" ht="15" x14ac:dyDescent="0.25">
      <c r="A68" s="71"/>
      <c r="B68" s="63"/>
      <c r="C68" s="64"/>
      <c r="D68" s="65"/>
      <c r="E68" s="6"/>
      <c r="F68" s="6"/>
      <c r="G68" s="6"/>
      <c r="H68" s="6"/>
      <c r="I68" s="6"/>
      <c r="J68" s="6"/>
      <c r="K68" s="6"/>
      <c r="L68" s="6"/>
    </row>
    <row r="69" spans="1:12" ht="15" x14ac:dyDescent="0.25">
      <c r="A69" s="71"/>
      <c r="B69" s="63"/>
      <c r="C69" s="64"/>
      <c r="D69" s="65"/>
      <c r="E69" s="6"/>
      <c r="F69" s="6"/>
      <c r="G69" s="6"/>
      <c r="H69" s="6"/>
      <c r="I69" s="6"/>
      <c r="J69" s="6"/>
      <c r="K69" s="6"/>
      <c r="L69" s="6"/>
    </row>
    <row r="70" spans="1:12" ht="15" x14ac:dyDescent="0.25">
      <c r="A70" s="71"/>
      <c r="E70" s="6"/>
      <c r="F70" s="6"/>
      <c r="G70" s="6"/>
      <c r="H70" s="6"/>
      <c r="I70" s="6"/>
      <c r="J70" s="6"/>
      <c r="K70" s="6"/>
      <c r="L70" s="6"/>
    </row>
    <row r="71" spans="1:12" ht="15" x14ac:dyDescent="0.25">
      <c r="A71" s="71"/>
      <c r="E71" s="6"/>
      <c r="F71" s="6"/>
      <c r="G71" s="6"/>
      <c r="H71" s="6"/>
      <c r="I71" s="6"/>
      <c r="J71" s="6"/>
      <c r="K71" s="6"/>
      <c r="L71" s="6"/>
    </row>
    <row r="72" spans="1:12" ht="15" x14ac:dyDescent="0.25">
      <c r="A72" s="71"/>
      <c r="E72" s="6"/>
      <c r="F72" s="6"/>
      <c r="G72" s="6"/>
      <c r="H72" s="6"/>
      <c r="I72" s="6"/>
      <c r="J72" s="6"/>
      <c r="K72" s="6"/>
      <c r="L72" s="6"/>
    </row>
    <row r="73" spans="1:12" ht="15" x14ac:dyDescent="0.25">
      <c r="A73" s="71"/>
      <c r="E73" s="6"/>
      <c r="F73" s="6"/>
      <c r="G73" s="6"/>
      <c r="H73" s="6"/>
      <c r="I73" s="6"/>
      <c r="J73" s="6"/>
      <c r="K73" s="6"/>
      <c r="L73" s="6"/>
    </row>
    <row r="74" spans="1:12" ht="15" x14ac:dyDescent="0.25">
      <c r="A74" s="71"/>
      <c r="E74" s="6"/>
      <c r="F74" s="6"/>
      <c r="G74" s="6"/>
      <c r="H74" s="6"/>
      <c r="I74" s="6"/>
      <c r="J74" s="6"/>
      <c r="K74" s="6"/>
      <c r="L74" s="6"/>
    </row>
    <row r="75" spans="1:12" ht="15" x14ac:dyDescent="0.25">
      <c r="A75" s="71"/>
      <c r="E75" s="6"/>
      <c r="F75" s="6"/>
      <c r="G75" s="6"/>
      <c r="H75" s="6"/>
      <c r="I75" s="6"/>
      <c r="J75" s="6"/>
      <c r="K75" s="6"/>
      <c r="L75" s="6"/>
    </row>
    <row r="76" spans="1:12" ht="15" x14ac:dyDescent="0.25">
      <c r="A76" s="71"/>
      <c r="E76" s="6"/>
      <c r="F76" s="6"/>
      <c r="G76" s="6"/>
      <c r="H76" s="6"/>
      <c r="I76" s="6"/>
      <c r="J76" s="6"/>
      <c r="K76" s="6"/>
      <c r="L76" s="6"/>
    </row>
    <row r="77" spans="1:12" ht="15" x14ac:dyDescent="0.25">
      <c r="A77" s="71"/>
      <c r="E77" s="6"/>
      <c r="F77" s="6"/>
      <c r="G77" s="6"/>
      <c r="H77" s="6"/>
      <c r="I77" s="6"/>
      <c r="J77" s="6"/>
      <c r="K77" s="6"/>
      <c r="L77" s="6"/>
    </row>
    <row r="78" spans="1:12" ht="15" x14ac:dyDescent="0.25">
      <c r="A78" s="71"/>
      <c r="E78" s="6"/>
      <c r="F78" s="6"/>
      <c r="G78" s="6"/>
      <c r="H78" s="6"/>
      <c r="I78" s="6"/>
      <c r="J78" s="6"/>
      <c r="K78" s="6"/>
      <c r="L78" s="6"/>
    </row>
    <row r="79" spans="1:12" ht="15" x14ac:dyDescent="0.25">
      <c r="A79" s="71"/>
      <c r="E79" s="6"/>
      <c r="F79" s="6"/>
      <c r="G79" s="6"/>
      <c r="H79" s="6"/>
      <c r="I79" s="6"/>
      <c r="J79" s="6"/>
      <c r="K79" s="6"/>
      <c r="L79" s="6"/>
    </row>
    <row r="80" spans="1:12" ht="15" x14ac:dyDescent="0.25">
      <c r="A80" s="71"/>
      <c r="E80" s="6"/>
      <c r="F80" s="6"/>
      <c r="G80" s="6"/>
      <c r="H80" s="6"/>
      <c r="I80" s="6"/>
      <c r="J80" s="6"/>
      <c r="K80" s="6"/>
      <c r="L80" s="6"/>
    </row>
    <row r="81" spans="1:12" ht="15" x14ac:dyDescent="0.25">
      <c r="A81" s="71"/>
      <c r="E81" s="6"/>
      <c r="F81" s="6"/>
      <c r="G81" s="6"/>
      <c r="H81" s="6"/>
      <c r="I81" s="6"/>
      <c r="J81" s="6"/>
      <c r="K81" s="6"/>
      <c r="L81" s="6"/>
    </row>
    <row r="82" spans="1:12" ht="15" x14ac:dyDescent="0.25">
      <c r="A82" s="71"/>
      <c r="E82" s="6"/>
      <c r="F82" s="6"/>
      <c r="G82" s="6"/>
      <c r="H82" s="6"/>
      <c r="I82" s="6"/>
      <c r="J82" s="6"/>
      <c r="K82" s="6"/>
      <c r="L82" s="6"/>
    </row>
    <row r="83" spans="1:12" ht="15" x14ac:dyDescent="0.25">
      <c r="A83" s="71"/>
      <c r="E83" s="6"/>
      <c r="F83" s="6"/>
      <c r="G83" s="6"/>
      <c r="H83" s="6"/>
      <c r="I83" s="6"/>
      <c r="J83" s="6"/>
      <c r="K83" s="6"/>
      <c r="L83" s="6"/>
    </row>
    <row r="84" spans="1:12" ht="15" x14ac:dyDescent="0.25">
      <c r="A84" s="71"/>
      <c r="E84" s="6"/>
      <c r="F84" s="6"/>
      <c r="G84" s="6"/>
      <c r="H84" s="6"/>
      <c r="I84" s="6"/>
      <c r="J84" s="6"/>
      <c r="K84" s="6"/>
      <c r="L84" s="6"/>
    </row>
    <row r="85" spans="1:12" ht="15" x14ac:dyDescent="0.25">
      <c r="A85" s="71"/>
      <c r="E85" s="6"/>
      <c r="F85" s="6"/>
      <c r="G85" s="6"/>
      <c r="H85" s="6"/>
      <c r="I85" s="6"/>
      <c r="J85" s="6"/>
      <c r="K85" s="6"/>
      <c r="L85" s="6"/>
    </row>
    <row r="86" spans="1:12" ht="15" x14ac:dyDescent="0.25">
      <c r="A86" s="71"/>
      <c r="E86" s="6"/>
      <c r="F86" s="6"/>
      <c r="G86" s="6"/>
      <c r="H86" s="6"/>
      <c r="I86" s="6"/>
      <c r="J86" s="6"/>
      <c r="K86" s="6"/>
      <c r="L86" s="6"/>
    </row>
    <row r="87" spans="1:12" ht="15" x14ac:dyDescent="0.25">
      <c r="A87" s="71"/>
      <c r="E87" s="6"/>
      <c r="F87" s="6"/>
      <c r="G87" s="6"/>
      <c r="H87" s="6"/>
      <c r="I87" s="6"/>
      <c r="J87" s="6"/>
      <c r="K87" s="6"/>
      <c r="L87" s="6"/>
    </row>
    <row r="88" spans="1:12" ht="15" x14ac:dyDescent="0.25">
      <c r="A88" s="71"/>
      <c r="E88" s="6"/>
      <c r="F88" s="6"/>
      <c r="G88" s="6"/>
      <c r="H88" s="6"/>
      <c r="I88" s="6"/>
      <c r="J88" s="6"/>
      <c r="K88" s="6"/>
      <c r="L88" s="6"/>
    </row>
    <row r="89" spans="1:12" ht="15" x14ac:dyDescent="0.25">
      <c r="A89" s="71"/>
      <c r="E89" s="6"/>
      <c r="F89" s="6"/>
      <c r="G89" s="6"/>
      <c r="H89" s="6"/>
      <c r="I89" s="6"/>
      <c r="J89" s="6"/>
      <c r="K89" s="6"/>
      <c r="L89" s="6"/>
    </row>
    <row r="90" spans="1:12" ht="15" x14ac:dyDescent="0.25">
      <c r="A90" s="71"/>
      <c r="E90" s="6"/>
      <c r="F90" s="6"/>
      <c r="G90" s="6"/>
      <c r="H90" s="6"/>
      <c r="I90" s="6"/>
      <c r="J90" s="6"/>
      <c r="K90" s="6"/>
      <c r="L90" s="6"/>
    </row>
    <row r="91" spans="1:12" ht="15" x14ac:dyDescent="0.25">
      <c r="A91" s="71"/>
      <c r="E91" s="6"/>
      <c r="F91" s="6"/>
      <c r="G91" s="6"/>
      <c r="H91" s="6"/>
      <c r="I91" s="6"/>
      <c r="J91" s="6"/>
      <c r="K91" s="6"/>
      <c r="L91" s="6"/>
    </row>
    <row r="92" spans="1:12" ht="15" x14ac:dyDescent="0.25">
      <c r="A92" s="71"/>
      <c r="E92" s="6"/>
      <c r="F92" s="6"/>
      <c r="G92" s="6"/>
      <c r="H92" s="6"/>
      <c r="I92" s="6"/>
      <c r="J92" s="6"/>
      <c r="K92" s="6"/>
      <c r="L92" s="6"/>
    </row>
    <row r="93" spans="1:12" ht="15" x14ac:dyDescent="0.25">
      <c r="A93" s="71"/>
      <c r="E93" s="6"/>
      <c r="F93" s="6"/>
      <c r="G93" s="6"/>
      <c r="H93" s="6"/>
      <c r="I93" s="6"/>
      <c r="J93" s="6"/>
      <c r="K93" s="6"/>
      <c r="L93" s="6"/>
    </row>
    <row r="94" spans="1:12" ht="15" x14ac:dyDescent="0.25">
      <c r="A94" s="71"/>
      <c r="E94" s="6"/>
      <c r="F94" s="6"/>
      <c r="G94" s="6"/>
      <c r="H94" s="6"/>
      <c r="I94" s="6"/>
      <c r="J94" s="6"/>
      <c r="K94" s="6"/>
      <c r="L94" s="6"/>
    </row>
    <row r="95" spans="1:12" ht="15" x14ac:dyDescent="0.25">
      <c r="A95" s="71"/>
      <c r="E95" s="6"/>
      <c r="F95" s="6"/>
      <c r="G95" s="6"/>
      <c r="H95" s="6"/>
      <c r="I95" s="6"/>
      <c r="J95" s="6"/>
      <c r="K95" s="6"/>
      <c r="L95" s="6"/>
    </row>
    <row r="96" spans="1:12" ht="15" x14ac:dyDescent="0.25">
      <c r="A96" s="71"/>
      <c r="E96" s="6"/>
      <c r="F96" s="6"/>
      <c r="G96" s="6"/>
      <c r="H96" s="6"/>
      <c r="I96" s="6"/>
      <c r="J96" s="6"/>
      <c r="K96" s="6"/>
      <c r="L96" s="6"/>
    </row>
    <row r="97" spans="1:12" ht="15" x14ac:dyDescent="0.25">
      <c r="A97" s="71"/>
      <c r="E97" s="6"/>
      <c r="F97" s="6"/>
      <c r="G97" s="6"/>
      <c r="H97" s="6"/>
      <c r="I97" s="6"/>
      <c r="J97" s="6"/>
      <c r="K97" s="6"/>
      <c r="L97" s="6"/>
    </row>
    <row r="98" spans="1:12" ht="15" x14ac:dyDescent="0.25">
      <c r="A98" s="71"/>
      <c r="E98" s="6"/>
      <c r="F98" s="6"/>
      <c r="G98" s="6"/>
      <c r="H98" s="6"/>
      <c r="I98" s="6"/>
      <c r="J98" s="6"/>
      <c r="K98" s="6"/>
      <c r="L98" s="6"/>
    </row>
    <row r="99" spans="1:12" ht="15" x14ac:dyDescent="0.25">
      <c r="A99" s="71"/>
      <c r="E99" s="6"/>
      <c r="F99" s="6"/>
      <c r="G99" s="6"/>
      <c r="H99" s="6"/>
      <c r="I99" s="6"/>
      <c r="J99" s="6"/>
      <c r="K99" s="6"/>
      <c r="L99" s="6"/>
    </row>
    <row r="100" spans="1:12" ht="15" x14ac:dyDescent="0.25">
      <c r="A100" s="71"/>
      <c r="E100" s="6"/>
      <c r="F100" s="6"/>
      <c r="G100" s="6"/>
      <c r="H100" s="6"/>
      <c r="I100" s="6"/>
      <c r="J100" s="6"/>
      <c r="K100" s="6"/>
      <c r="L100" s="6"/>
    </row>
    <row r="101" spans="1:12" ht="15" x14ac:dyDescent="0.25">
      <c r="A101" s="71"/>
      <c r="E101" s="6"/>
      <c r="F101" s="6"/>
      <c r="G101" s="6"/>
      <c r="H101" s="6"/>
      <c r="I101" s="6"/>
      <c r="J101" s="6"/>
      <c r="K101" s="6"/>
      <c r="L101" s="6"/>
    </row>
    <row r="102" spans="1:12" ht="15" x14ac:dyDescent="0.25">
      <c r="A102" s="71"/>
      <c r="E102" s="6"/>
      <c r="F102" s="6"/>
      <c r="G102" s="6"/>
      <c r="H102" s="6"/>
      <c r="I102" s="6"/>
      <c r="J102" s="6"/>
      <c r="K102" s="6"/>
      <c r="L102" s="6"/>
    </row>
    <row r="103" spans="1:12" ht="15" x14ac:dyDescent="0.25">
      <c r="A103" s="71"/>
      <c r="E103" s="6"/>
      <c r="F103" s="6"/>
      <c r="G103" s="6"/>
      <c r="H103" s="6"/>
      <c r="I103" s="6"/>
      <c r="J103" s="6"/>
      <c r="K103" s="6"/>
      <c r="L103" s="6"/>
    </row>
    <row r="104" spans="1:12" ht="15" x14ac:dyDescent="0.25">
      <c r="A104" s="71"/>
      <c r="E104" s="6"/>
      <c r="F104" s="6"/>
      <c r="G104" s="6"/>
      <c r="H104" s="6"/>
      <c r="I104" s="6"/>
      <c r="J104" s="6"/>
      <c r="K104" s="6"/>
      <c r="L104" s="6"/>
    </row>
    <row r="105" spans="1:12" ht="15" x14ac:dyDescent="0.25">
      <c r="A105" s="71"/>
      <c r="E105" s="6"/>
      <c r="F105" s="6"/>
      <c r="G105" s="6"/>
      <c r="H105" s="6"/>
      <c r="I105" s="6"/>
      <c r="J105" s="6"/>
      <c r="K105" s="6"/>
      <c r="L105" s="6"/>
    </row>
    <row r="106" spans="1:12" ht="15" x14ac:dyDescent="0.25">
      <c r="A106" s="71"/>
      <c r="E106" s="6"/>
      <c r="F106" s="6"/>
      <c r="G106" s="6"/>
      <c r="H106" s="6"/>
      <c r="I106" s="6"/>
      <c r="J106" s="6"/>
      <c r="K106" s="6"/>
      <c r="L106" s="6"/>
    </row>
    <row r="107" spans="1:12" ht="15" x14ac:dyDescent="0.25">
      <c r="A107" s="71"/>
      <c r="E107" s="6"/>
      <c r="F107" s="6"/>
      <c r="G107" s="6"/>
      <c r="H107" s="6"/>
      <c r="I107" s="6"/>
      <c r="J107" s="6"/>
      <c r="K107" s="6"/>
      <c r="L107" s="6"/>
    </row>
    <row r="108" spans="1:12" ht="15" x14ac:dyDescent="0.25">
      <c r="A108" s="71"/>
      <c r="E108" s="6"/>
      <c r="F108" s="6"/>
      <c r="G108" s="6"/>
      <c r="H108" s="6"/>
      <c r="I108" s="6"/>
      <c r="J108" s="6"/>
      <c r="K108" s="6"/>
      <c r="L108" s="6"/>
    </row>
    <row r="109" spans="1:12" ht="15" x14ac:dyDescent="0.25">
      <c r="A109" s="71"/>
      <c r="E109" s="6"/>
      <c r="F109" s="6"/>
      <c r="G109" s="6"/>
      <c r="H109" s="6"/>
      <c r="I109" s="6"/>
      <c r="J109" s="6"/>
      <c r="K109" s="6"/>
      <c r="L109" s="6"/>
    </row>
    <row r="110" spans="1:12" ht="15" x14ac:dyDescent="0.25">
      <c r="A110" s="71"/>
      <c r="E110" s="6"/>
      <c r="F110" s="6"/>
      <c r="G110" s="6"/>
      <c r="H110" s="6"/>
      <c r="I110" s="6"/>
      <c r="J110" s="6"/>
      <c r="K110" s="6"/>
      <c r="L110" s="6"/>
    </row>
    <row r="111" spans="1:12" ht="15" x14ac:dyDescent="0.25">
      <c r="A111" s="71"/>
      <c r="E111" s="6"/>
      <c r="F111" s="6"/>
      <c r="G111" s="6"/>
      <c r="H111" s="6"/>
      <c r="I111" s="6"/>
      <c r="J111" s="6"/>
      <c r="K111" s="6"/>
      <c r="L111" s="6"/>
    </row>
    <row r="112" spans="1:12" ht="15" x14ac:dyDescent="0.25">
      <c r="A112" s="71"/>
      <c r="E112" s="6"/>
      <c r="F112" s="6"/>
      <c r="G112" s="6"/>
      <c r="H112" s="6"/>
      <c r="I112" s="6"/>
      <c r="J112" s="6"/>
      <c r="K112" s="6"/>
      <c r="L112" s="6"/>
    </row>
    <row r="113" spans="1:12" ht="15" x14ac:dyDescent="0.25">
      <c r="A113" s="71"/>
      <c r="E113" s="6"/>
      <c r="F113" s="6"/>
      <c r="G113" s="6"/>
      <c r="H113" s="6"/>
      <c r="I113" s="6"/>
      <c r="J113" s="6"/>
      <c r="K113" s="6"/>
      <c r="L113" s="6"/>
    </row>
    <row r="114" spans="1:12" ht="15" x14ac:dyDescent="0.25">
      <c r="A114" s="71"/>
      <c r="E114" s="6"/>
      <c r="F114" s="6"/>
      <c r="G114" s="6"/>
      <c r="H114" s="6"/>
      <c r="I114" s="6"/>
      <c r="J114" s="6"/>
      <c r="K114" s="6"/>
      <c r="L114" s="6"/>
    </row>
    <row r="115" spans="1:12" ht="15" x14ac:dyDescent="0.25">
      <c r="A115" s="71"/>
      <c r="E115" s="6"/>
      <c r="F115" s="6"/>
      <c r="G115" s="6"/>
      <c r="H115" s="6"/>
      <c r="I115" s="6"/>
      <c r="J115" s="6"/>
      <c r="K115" s="6"/>
      <c r="L115" s="6"/>
    </row>
    <row r="116" spans="1:12" ht="15" x14ac:dyDescent="0.25">
      <c r="A116" s="71"/>
      <c r="E116" s="6"/>
      <c r="F116" s="6"/>
      <c r="G116" s="6"/>
      <c r="H116" s="6"/>
      <c r="I116" s="6"/>
      <c r="J116" s="6"/>
      <c r="K116" s="6"/>
      <c r="L116" s="6"/>
    </row>
    <row r="117" spans="1:12" ht="15" x14ac:dyDescent="0.25">
      <c r="A117" s="71"/>
      <c r="E117" s="6"/>
      <c r="F117" s="6"/>
      <c r="G117" s="6"/>
      <c r="H117" s="6"/>
      <c r="I117" s="6"/>
      <c r="J117" s="6"/>
      <c r="K117" s="6"/>
      <c r="L117" s="6"/>
    </row>
    <row r="118" spans="1:12" ht="15" x14ac:dyDescent="0.25">
      <c r="A118" s="71"/>
      <c r="E118" s="6"/>
      <c r="F118" s="6"/>
      <c r="G118" s="6"/>
      <c r="H118" s="6"/>
      <c r="I118" s="6"/>
      <c r="J118" s="6"/>
      <c r="K118" s="6"/>
      <c r="L118" s="6"/>
    </row>
    <row r="119" spans="1:12" ht="15" x14ac:dyDescent="0.25">
      <c r="A119" s="71"/>
      <c r="E119" s="6"/>
      <c r="F119" s="6"/>
      <c r="G119" s="6"/>
      <c r="H119" s="6"/>
      <c r="I119" s="6"/>
      <c r="J119" s="6"/>
      <c r="K119" s="6"/>
      <c r="L119" s="6"/>
    </row>
    <row r="120" spans="1:12" ht="15" x14ac:dyDescent="0.25">
      <c r="A120" s="71"/>
      <c r="E120" s="6"/>
      <c r="F120" s="6"/>
      <c r="G120" s="6"/>
      <c r="H120" s="6"/>
      <c r="I120" s="6"/>
      <c r="J120" s="6"/>
      <c r="K120" s="6"/>
      <c r="L120" s="6"/>
    </row>
    <row r="121" spans="1:12" ht="15" x14ac:dyDescent="0.25">
      <c r="A121" s="71"/>
      <c r="E121" s="6"/>
      <c r="F121" s="6"/>
      <c r="G121" s="6"/>
      <c r="H121" s="6"/>
      <c r="I121" s="6"/>
      <c r="J121" s="6"/>
      <c r="K121" s="6"/>
      <c r="L121" s="6"/>
    </row>
    <row r="122" spans="1:12" ht="15" x14ac:dyDescent="0.25">
      <c r="A122" s="71"/>
      <c r="E122" s="6"/>
      <c r="F122" s="6"/>
      <c r="G122" s="6"/>
      <c r="H122" s="6"/>
      <c r="I122" s="6"/>
      <c r="J122" s="6"/>
      <c r="K122" s="6"/>
      <c r="L122" s="6"/>
    </row>
    <row r="123" spans="1:12" ht="15" x14ac:dyDescent="0.25">
      <c r="A123" s="71"/>
      <c r="E123" s="6"/>
      <c r="F123" s="6"/>
      <c r="G123" s="6"/>
      <c r="H123" s="6"/>
      <c r="I123" s="6"/>
      <c r="J123" s="6"/>
      <c r="K123" s="6"/>
      <c r="L123" s="6"/>
    </row>
    <row r="124" spans="1:12" ht="15" x14ac:dyDescent="0.25">
      <c r="A124" s="71"/>
      <c r="E124" s="6"/>
      <c r="F124" s="6"/>
      <c r="G124" s="6"/>
      <c r="H124" s="6"/>
      <c r="I124" s="6"/>
      <c r="J124" s="6"/>
      <c r="K124" s="6"/>
      <c r="L124" s="6"/>
    </row>
    <row r="125" spans="1:12" ht="15" x14ac:dyDescent="0.25">
      <c r="A125" s="71"/>
      <c r="E125" s="6"/>
      <c r="F125" s="6"/>
      <c r="G125" s="6"/>
      <c r="H125" s="6"/>
      <c r="I125" s="6"/>
      <c r="J125" s="6"/>
      <c r="K125" s="6"/>
      <c r="L125" s="6"/>
    </row>
    <row r="126" spans="1:12" ht="15" x14ac:dyDescent="0.25">
      <c r="A126" s="71"/>
      <c r="E126" s="6"/>
      <c r="F126" s="6"/>
      <c r="G126" s="6"/>
      <c r="H126" s="6"/>
      <c r="I126" s="6"/>
      <c r="J126" s="6"/>
      <c r="K126" s="6"/>
      <c r="L126" s="6"/>
    </row>
    <row r="127" spans="1:12" ht="15" x14ac:dyDescent="0.25">
      <c r="A127" s="71"/>
      <c r="E127" s="6"/>
      <c r="F127" s="6"/>
      <c r="G127" s="6"/>
      <c r="H127" s="6"/>
      <c r="I127" s="6"/>
      <c r="J127" s="6"/>
      <c r="K127" s="6"/>
      <c r="L127" s="6"/>
    </row>
    <row r="128" spans="1:12" ht="15" x14ac:dyDescent="0.25">
      <c r="A128" s="71"/>
      <c r="E128" s="6"/>
      <c r="F128" s="6"/>
      <c r="G128" s="6"/>
      <c r="H128" s="6"/>
      <c r="I128" s="6"/>
      <c r="J128" s="6"/>
      <c r="K128" s="6"/>
      <c r="L128" s="6"/>
    </row>
    <row r="129" spans="1:12" ht="15" x14ac:dyDescent="0.25">
      <c r="A129" s="71"/>
      <c r="E129" s="6"/>
      <c r="F129" s="6"/>
      <c r="G129" s="6"/>
      <c r="H129" s="6"/>
      <c r="I129" s="6"/>
      <c r="J129" s="6"/>
      <c r="K129" s="6"/>
      <c r="L129" s="6"/>
    </row>
    <row r="130" spans="1:12" ht="15" x14ac:dyDescent="0.25">
      <c r="A130" s="71"/>
      <c r="E130" s="6"/>
      <c r="F130" s="6"/>
      <c r="G130" s="6"/>
      <c r="H130" s="6"/>
      <c r="I130" s="6"/>
      <c r="J130" s="6"/>
      <c r="K130" s="6"/>
      <c r="L130" s="6"/>
    </row>
    <row r="131" spans="1:12" ht="15" x14ac:dyDescent="0.25">
      <c r="A131" s="71"/>
      <c r="E131" s="6"/>
      <c r="F131" s="6"/>
      <c r="G131" s="6"/>
      <c r="H131" s="6"/>
      <c r="I131" s="6"/>
      <c r="J131" s="6"/>
      <c r="K131" s="6"/>
      <c r="L131" s="6"/>
    </row>
    <row r="132" spans="1:12" ht="15" x14ac:dyDescent="0.25">
      <c r="A132" s="71"/>
      <c r="E132" s="6"/>
      <c r="F132" s="6"/>
      <c r="G132" s="6"/>
      <c r="H132" s="6"/>
      <c r="I132" s="6"/>
      <c r="J132" s="6"/>
      <c r="K132" s="6"/>
      <c r="L132" s="6"/>
    </row>
    <row r="133" spans="1:12" ht="15" x14ac:dyDescent="0.25">
      <c r="A133" s="71"/>
      <c r="E133" s="6"/>
      <c r="F133" s="6"/>
      <c r="G133" s="6"/>
      <c r="H133" s="6"/>
      <c r="I133" s="6"/>
      <c r="J133" s="6"/>
      <c r="K133" s="6"/>
      <c r="L133" s="6"/>
    </row>
    <row r="134" spans="1:12" ht="15" x14ac:dyDescent="0.25">
      <c r="A134" s="71"/>
      <c r="E134" s="6"/>
      <c r="F134" s="6"/>
      <c r="G134" s="6"/>
      <c r="H134" s="6"/>
      <c r="I134" s="6"/>
      <c r="J134" s="6"/>
      <c r="K134" s="6"/>
      <c r="L134" s="6"/>
    </row>
    <row r="135" spans="1:12" ht="15" x14ac:dyDescent="0.25">
      <c r="A135" s="71"/>
      <c r="E135" s="6"/>
      <c r="F135" s="6"/>
      <c r="G135" s="6"/>
      <c r="H135" s="6"/>
      <c r="I135" s="6"/>
      <c r="J135" s="6"/>
      <c r="K135" s="6"/>
      <c r="L135" s="6"/>
    </row>
    <row r="136" spans="1:12" ht="15" x14ac:dyDescent="0.25">
      <c r="A136" s="71"/>
      <c r="E136" s="6"/>
      <c r="F136" s="6"/>
      <c r="G136" s="6"/>
      <c r="H136" s="6"/>
      <c r="I136" s="6"/>
      <c r="J136" s="6"/>
      <c r="K136" s="6"/>
      <c r="L136" s="6"/>
    </row>
    <row r="137" spans="1:12" ht="15" x14ac:dyDescent="0.25">
      <c r="A137" s="71"/>
      <c r="E137" s="6"/>
      <c r="F137" s="6"/>
      <c r="G137" s="6"/>
      <c r="H137" s="6"/>
      <c r="I137" s="6"/>
      <c r="J137" s="6"/>
      <c r="K137" s="6"/>
      <c r="L137" s="6"/>
    </row>
    <row r="138" spans="1:12" ht="15" x14ac:dyDescent="0.25">
      <c r="A138" s="71"/>
      <c r="E138" s="6"/>
      <c r="F138" s="6"/>
      <c r="G138" s="6"/>
      <c r="H138" s="6"/>
      <c r="I138" s="6"/>
      <c r="J138" s="6"/>
      <c r="K138" s="6"/>
      <c r="L138" s="6"/>
    </row>
    <row r="139" spans="1:12" ht="15" x14ac:dyDescent="0.25">
      <c r="A139" s="71"/>
      <c r="E139" s="6"/>
      <c r="F139" s="6"/>
      <c r="G139" s="6"/>
      <c r="H139" s="6"/>
      <c r="I139" s="6"/>
      <c r="J139" s="6"/>
      <c r="K139" s="6"/>
      <c r="L139" s="6"/>
    </row>
    <row r="140" spans="1:12" ht="15" x14ac:dyDescent="0.25">
      <c r="A140" s="71"/>
      <c r="E140" s="6"/>
      <c r="F140" s="6"/>
      <c r="G140" s="6"/>
      <c r="H140" s="6"/>
      <c r="I140" s="6"/>
      <c r="J140" s="6"/>
      <c r="K140" s="6"/>
      <c r="L140" s="6"/>
    </row>
    <row r="141" spans="1:12" ht="15" x14ac:dyDescent="0.25">
      <c r="A141" s="71"/>
      <c r="E141" s="6"/>
      <c r="F141" s="6"/>
      <c r="G141" s="6"/>
      <c r="H141" s="6"/>
      <c r="I141" s="6"/>
      <c r="J141" s="6"/>
      <c r="K141" s="6"/>
      <c r="L141" s="6"/>
    </row>
    <row r="142" spans="1:12" ht="15" x14ac:dyDescent="0.25">
      <c r="A142" s="71"/>
      <c r="E142" s="6"/>
      <c r="F142" s="6"/>
      <c r="G142" s="6"/>
      <c r="H142" s="6"/>
      <c r="I142" s="6"/>
      <c r="J142" s="6"/>
      <c r="K142" s="6"/>
      <c r="L142" s="6"/>
    </row>
    <row r="143" spans="1:12" x14ac:dyDescent="0.2">
      <c r="E143" s="2"/>
      <c r="F143" s="3"/>
      <c r="G143" s="3"/>
    </row>
    <row r="144" spans="1:12" x14ac:dyDescent="0.2">
      <c r="E144" s="2"/>
      <c r="F144" s="3"/>
      <c r="G144" s="3"/>
    </row>
    <row r="145" spans="5:7" x14ac:dyDescent="0.2">
      <c r="E145" s="2"/>
      <c r="F145" s="3"/>
      <c r="G145" s="3"/>
    </row>
    <row r="146" spans="5:7" x14ac:dyDescent="0.2">
      <c r="E146" s="2"/>
      <c r="F146" s="3"/>
      <c r="G146" s="3"/>
    </row>
    <row r="147" spans="5:7" x14ac:dyDescent="0.2">
      <c r="E147" s="2"/>
      <c r="F147" s="3"/>
      <c r="G147" s="3"/>
    </row>
    <row r="148" spans="5:7" x14ac:dyDescent="0.2">
      <c r="E148" s="2"/>
      <c r="F148" s="3"/>
      <c r="G148" s="3"/>
    </row>
    <row r="149" spans="5:7" x14ac:dyDescent="0.2">
      <c r="E149" s="2"/>
      <c r="F149" s="3"/>
      <c r="G149" s="3"/>
    </row>
    <row r="150" spans="5:7" x14ac:dyDescent="0.2">
      <c r="E150" s="2"/>
      <c r="F150" s="3"/>
      <c r="G150" s="3"/>
    </row>
    <row r="151" spans="5:7" x14ac:dyDescent="0.2">
      <c r="E151" s="2"/>
      <c r="F151" s="3"/>
      <c r="G151" s="3"/>
    </row>
    <row r="152" spans="5:7" x14ac:dyDescent="0.2">
      <c r="E152" s="2"/>
      <c r="F152" s="3"/>
      <c r="G152" s="3"/>
    </row>
    <row r="153" spans="5:7" x14ac:dyDescent="0.2">
      <c r="E153" s="2"/>
      <c r="F153" s="3"/>
      <c r="G153" s="3"/>
    </row>
    <row r="154" spans="5:7" x14ac:dyDescent="0.2">
      <c r="E154" s="2"/>
      <c r="F154" s="3"/>
      <c r="G154" s="3"/>
    </row>
    <row r="155" spans="5:7" x14ac:dyDescent="0.2">
      <c r="E155" s="2"/>
      <c r="F155" s="3"/>
      <c r="G155" s="3"/>
    </row>
    <row r="156" spans="5:7" x14ac:dyDescent="0.2">
      <c r="E156" s="2"/>
      <c r="F156" s="3"/>
      <c r="G156" s="3"/>
    </row>
    <row r="157" spans="5:7" x14ac:dyDescent="0.2">
      <c r="E157" s="2"/>
      <c r="F157" s="3"/>
      <c r="G157" s="3"/>
    </row>
    <row r="158" spans="5:7" x14ac:dyDescent="0.2">
      <c r="E158" s="2"/>
      <c r="F158" s="3"/>
      <c r="G158" s="3"/>
    </row>
    <row r="159" spans="5:7" x14ac:dyDescent="0.2">
      <c r="E159" s="2"/>
      <c r="F159" s="3"/>
      <c r="G159" s="3"/>
    </row>
    <row r="160" spans="5:7" x14ac:dyDescent="0.2">
      <c r="E160" s="2"/>
      <c r="F160" s="3"/>
      <c r="G160" s="3"/>
    </row>
    <row r="161" spans="5:7" x14ac:dyDescent="0.2">
      <c r="E161" s="2"/>
      <c r="F161" s="3"/>
      <c r="G161" s="3"/>
    </row>
    <row r="162" spans="5:7" x14ac:dyDescent="0.2">
      <c r="E162" s="2"/>
      <c r="F162" s="3"/>
      <c r="G162" s="3"/>
    </row>
    <row r="163" spans="5:7" x14ac:dyDescent="0.2">
      <c r="E163" s="2"/>
      <c r="F163" s="3"/>
      <c r="G163" s="3"/>
    </row>
    <row r="164" spans="5:7" x14ac:dyDescent="0.2">
      <c r="E164" s="2"/>
      <c r="F164" s="3"/>
      <c r="G164" s="3"/>
    </row>
    <row r="165" spans="5:7" x14ac:dyDescent="0.2">
      <c r="E165" s="2"/>
      <c r="F165" s="3"/>
      <c r="G165" s="3"/>
    </row>
    <row r="166" spans="5:7" x14ac:dyDescent="0.2">
      <c r="E166" s="2"/>
      <c r="F166" s="3"/>
      <c r="G166" s="3"/>
    </row>
    <row r="167" spans="5:7" x14ac:dyDescent="0.2">
      <c r="E167" s="2"/>
      <c r="F167" s="3"/>
      <c r="G167" s="3"/>
    </row>
    <row r="168" spans="5:7" x14ac:dyDescent="0.2">
      <c r="E168" s="2"/>
      <c r="F168" s="3"/>
      <c r="G168" s="3"/>
    </row>
    <row r="169" spans="5:7" x14ac:dyDescent="0.2">
      <c r="E169" s="2"/>
      <c r="F169" s="3"/>
      <c r="G169" s="3"/>
    </row>
    <row r="170" spans="5:7" x14ac:dyDescent="0.2">
      <c r="E170" s="2"/>
      <c r="F170" s="3"/>
      <c r="G170" s="3"/>
    </row>
    <row r="171" spans="5:7" x14ac:dyDescent="0.2">
      <c r="E171" s="2"/>
      <c r="F171" s="3"/>
      <c r="G171" s="3"/>
    </row>
    <row r="172" spans="5:7" x14ac:dyDescent="0.2">
      <c r="E172" s="2"/>
      <c r="F172" s="3"/>
      <c r="G172" s="3"/>
    </row>
    <row r="173" spans="5:7" x14ac:dyDescent="0.2">
      <c r="E173" s="2"/>
      <c r="F173" s="3"/>
      <c r="G173" s="3"/>
    </row>
    <row r="174" spans="5:7" x14ac:dyDescent="0.2">
      <c r="E174" s="2"/>
      <c r="F174" s="3"/>
      <c r="G174" s="3"/>
    </row>
    <row r="175" spans="5:7" x14ac:dyDescent="0.2">
      <c r="E175" s="2"/>
      <c r="F175" s="3"/>
      <c r="G175" s="3"/>
    </row>
    <row r="176" spans="5:7" x14ac:dyDescent="0.2">
      <c r="E176" s="2"/>
      <c r="F176" s="3"/>
      <c r="G176" s="3"/>
    </row>
    <row r="177" spans="5:7" x14ac:dyDescent="0.2">
      <c r="E177" s="2"/>
      <c r="F177" s="3"/>
      <c r="G177" s="3"/>
    </row>
    <row r="178" spans="5:7" x14ac:dyDescent="0.2">
      <c r="E178" s="2"/>
      <c r="F178" s="3"/>
      <c r="G178" s="3"/>
    </row>
    <row r="179" spans="5:7" x14ac:dyDescent="0.2">
      <c r="E179" s="2"/>
      <c r="F179" s="3"/>
      <c r="G179" s="3"/>
    </row>
    <row r="180" spans="5:7" x14ac:dyDescent="0.2">
      <c r="E180" s="2"/>
      <c r="F180" s="3"/>
      <c r="G180" s="3"/>
    </row>
    <row r="181" spans="5:7" x14ac:dyDescent="0.2">
      <c r="E181" s="2"/>
      <c r="F181" s="3"/>
      <c r="G181" s="3"/>
    </row>
    <row r="182" spans="5:7" x14ac:dyDescent="0.2">
      <c r="E182" s="2"/>
      <c r="F182" s="3"/>
      <c r="G182" s="3"/>
    </row>
    <row r="183" spans="5:7" x14ac:dyDescent="0.2">
      <c r="E183" s="2"/>
      <c r="F183" s="3"/>
      <c r="G183" s="3"/>
    </row>
    <row r="184" spans="5:7" x14ac:dyDescent="0.2">
      <c r="E184" s="2"/>
      <c r="F184" s="3"/>
      <c r="G184" s="3"/>
    </row>
    <row r="185" spans="5:7" x14ac:dyDescent="0.2">
      <c r="E185" s="2"/>
      <c r="F185" s="3"/>
      <c r="G185" s="3"/>
    </row>
    <row r="186" spans="5:7" x14ac:dyDescent="0.2">
      <c r="E186" s="2"/>
      <c r="F186" s="3"/>
      <c r="G186" s="3"/>
    </row>
    <row r="187" spans="5:7" x14ac:dyDescent="0.2">
      <c r="E187" s="2"/>
      <c r="F187" s="3"/>
      <c r="G187" s="3"/>
    </row>
    <row r="188" spans="5:7" x14ac:dyDescent="0.2">
      <c r="E188" s="2"/>
      <c r="F188" s="3"/>
      <c r="G188" s="3"/>
    </row>
    <row r="189" spans="5:7" x14ac:dyDescent="0.2">
      <c r="E189" s="2"/>
      <c r="F189" s="3"/>
      <c r="G189" s="3"/>
    </row>
    <row r="190" spans="5:7" x14ac:dyDescent="0.2">
      <c r="E190" s="2"/>
      <c r="F190" s="3"/>
      <c r="G190" s="3"/>
    </row>
    <row r="191" spans="5:7" x14ac:dyDescent="0.2">
      <c r="E191" s="2"/>
      <c r="F191" s="3"/>
      <c r="G191" s="3"/>
    </row>
    <row r="192" spans="5:7" x14ac:dyDescent="0.2">
      <c r="E192" s="2"/>
      <c r="F192" s="3"/>
      <c r="G192" s="3"/>
    </row>
    <row r="193" spans="5:7" x14ac:dyDescent="0.2">
      <c r="E193" s="2"/>
      <c r="F193" s="3"/>
      <c r="G193" s="3"/>
    </row>
    <row r="194" spans="5:7" x14ac:dyDescent="0.2">
      <c r="E194" s="2"/>
      <c r="F194" s="3"/>
      <c r="G194" s="3"/>
    </row>
    <row r="195" spans="5:7" x14ac:dyDescent="0.2">
      <c r="E195" s="2"/>
      <c r="F195" s="3"/>
      <c r="G195" s="3"/>
    </row>
    <row r="196" spans="5:7" x14ac:dyDescent="0.2">
      <c r="E196" s="2"/>
      <c r="F196" s="3"/>
      <c r="G196" s="3"/>
    </row>
    <row r="197" spans="5:7" x14ac:dyDescent="0.2">
      <c r="E197" s="2"/>
      <c r="F197" s="3"/>
      <c r="G197" s="3"/>
    </row>
    <row r="198" spans="5:7" x14ac:dyDescent="0.2">
      <c r="E198" s="2"/>
      <c r="F198" s="3"/>
      <c r="G198" s="3"/>
    </row>
    <row r="199" spans="5:7" x14ac:dyDescent="0.2">
      <c r="E199" s="2"/>
      <c r="F199" s="3"/>
      <c r="G199" s="3"/>
    </row>
    <row r="200" spans="5:7" x14ac:dyDescent="0.2">
      <c r="E200" s="2"/>
      <c r="F200" s="3"/>
      <c r="G200" s="3"/>
    </row>
    <row r="201" spans="5:7" x14ac:dyDescent="0.2">
      <c r="E201" s="2"/>
      <c r="F201" s="3"/>
      <c r="G201" s="3"/>
    </row>
    <row r="202" spans="5:7" x14ac:dyDescent="0.2">
      <c r="E202" s="2"/>
      <c r="F202" s="3"/>
      <c r="G202" s="3"/>
    </row>
    <row r="203" spans="5:7" x14ac:dyDescent="0.2">
      <c r="E203" s="2"/>
      <c r="F203" s="3"/>
      <c r="G203" s="3"/>
    </row>
    <row r="204" spans="5:7" x14ac:dyDescent="0.2">
      <c r="E204" s="2"/>
      <c r="F204" s="3"/>
      <c r="G204" s="3"/>
    </row>
    <row r="205" spans="5:7" x14ac:dyDescent="0.2">
      <c r="E205" s="2"/>
      <c r="F205" s="3"/>
      <c r="G205" s="3"/>
    </row>
    <row r="206" spans="5:7" x14ac:dyDescent="0.2">
      <c r="E206" s="2"/>
      <c r="F206" s="3"/>
      <c r="G206" s="3"/>
    </row>
    <row r="207" spans="5:7" x14ac:dyDescent="0.2">
      <c r="E207" s="2"/>
      <c r="F207" s="3"/>
      <c r="G207" s="3"/>
    </row>
    <row r="208" spans="5:7" x14ac:dyDescent="0.2">
      <c r="E208" s="2"/>
      <c r="F208" s="3"/>
      <c r="G208" s="3"/>
    </row>
    <row r="209" spans="5:7" x14ac:dyDescent="0.2">
      <c r="E209" s="2"/>
      <c r="F209" s="3"/>
      <c r="G209" s="3"/>
    </row>
    <row r="210" spans="5:7" x14ac:dyDescent="0.2">
      <c r="E210" s="2"/>
      <c r="F210" s="3"/>
      <c r="G210" s="3"/>
    </row>
    <row r="211" spans="5:7" x14ac:dyDescent="0.2">
      <c r="E211" s="2"/>
      <c r="F211" s="3"/>
      <c r="G211" s="3"/>
    </row>
    <row r="212" spans="5:7" x14ac:dyDescent="0.2">
      <c r="E212" s="2"/>
      <c r="F212" s="3"/>
      <c r="G212" s="3"/>
    </row>
    <row r="213" spans="5:7" x14ac:dyDescent="0.2">
      <c r="E213" s="2"/>
      <c r="F213" s="3"/>
      <c r="G213" s="3"/>
    </row>
    <row r="214" spans="5:7" x14ac:dyDescent="0.2">
      <c r="E214" s="2"/>
      <c r="F214" s="3"/>
      <c r="G214" s="3"/>
    </row>
    <row r="215" spans="5:7" x14ac:dyDescent="0.2">
      <c r="E215" s="2"/>
      <c r="F215" s="3"/>
      <c r="G215" s="3"/>
    </row>
    <row r="216" spans="5:7" x14ac:dyDescent="0.2">
      <c r="E216" s="2"/>
      <c r="F216" s="3"/>
      <c r="G216" s="3"/>
    </row>
    <row r="217" spans="5:7" x14ac:dyDescent="0.2">
      <c r="E217" s="2"/>
      <c r="F217" s="3"/>
      <c r="G217" s="3"/>
    </row>
    <row r="218" spans="5:7" x14ac:dyDescent="0.2">
      <c r="E218" s="2"/>
      <c r="F218" s="3"/>
      <c r="G218" s="3"/>
    </row>
    <row r="219" spans="5:7" x14ac:dyDescent="0.2">
      <c r="E219" s="2"/>
      <c r="F219" s="3"/>
      <c r="G219" s="3"/>
    </row>
    <row r="220" spans="5:7" x14ac:dyDescent="0.2">
      <c r="E220" s="2"/>
      <c r="F220" s="3"/>
      <c r="G220" s="3"/>
    </row>
    <row r="221" spans="5:7" x14ac:dyDescent="0.2">
      <c r="E221" s="2"/>
      <c r="F221" s="3"/>
      <c r="G221" s="3"/>
    </row>
    <row r="222" spans="5:7" x14ac:dyDescent="0.2">
      <c r="E222" s="2"/>
      <c r="F222" s="3"/>
      <c r="G222" s="3"/>
    </row>
    <row r="223" spans="5:7" x14ac:dyDescent="0.2">
      <c r="E223" s="2"/>
      <c r="F223" s="3"/>
      <c r="G223" s="3"/>
    </row>
    <row r="224" spans="5:7" x14ac:dyDescent="0.2">
      <c r="E224" s="2"/>
      <c r="F224" s="3"/>
      <c r="G224" s="3"/>
    </row>
    <row r="225" spans="5:7" x14ac:dyDescent="0.2">
      <c r="E225" s="2"/>
      <c r="F225" s="3"/>
      <c r="G225" s="3"/>
    </row>
    <row r="226" spans="5:7" x14ac:dyDescent="0.2">
      <c r="E226" s="2"/>
      <c r="F226" s="3"/>
      <c r="G226" s="3"/>
    </row>
    <row r="227" spans="5:7" x14ac:dyDescent="0.2">
      <c r="E227" s="2"/>
      <c r="F227" s="3"/>
      <c r="G227" s="3"/>
    </row>
    <row r="228" spans="5:7" x14ac:dyDescent="0.2">
      <c r="E228" s="2"/>
      <c r="F228" s="3"/>
      <c r="G228" s="3"/>
    </row>
    <row r="229" spans="5:7" x14ac:dyDescent="0.2">
      <c r="E229" s="2"/>
      <c r="F229" s="3"/>
      <c r="G229" s="3"/>
    </row>
    <row r="230" spans="5:7" x14ac:dyDescent="0.2">
      <c r="E230" s="2"/>
      <c r="F230" s="3"/>
      <c r="G230" s="3"/>
    </row>
    <row r="231" spans="5:7" x14ac:dyDescent="0.2">
      <c r="E231" s="2"/>
      <c r="F231" s="3"/>
      <c r="G231" s="3"/>
    </row>
    <row r="232" spans="5:7" x14ac:dyDescent="0.2">
      <c r="E232" s="2"/>
      <c r="F232" s="3"/>
      <c r="G232" s="3"/>
    </row>
    <row r="233" spans="5:7" x14ac:dyDescent="0.2">
      <c r="E233" s="2"/>
      <c r="F233" s="3"/>
      <c r="G233" s="3"/>
    </row>
    <row r="234" spans="5:7" x14ac:dyDescent="0.2">
      <c r="E234" s="2"/>
      <c r="F234" s="3"/>
      <c r="G234" s="3"/>
    </row>
    <row r="235" spans="5:7" x14ac:dyDescent="0.2">
      <c r="E235" s="2"/>
      <c r="F235" s="3"/>
      <c r="G235" s="3"/>
    </row>
    <row r="236" spans="5:7" x14ac:dyDescent="0.2">
      <c r="E236" s="2"/>
      <c r="F236" s="3"/>
      <c r="G236" s="3"/>
    </row>
    <row r="237" spans="5:7" x14ac:dyDescent="0.2">
      <c r="E237" s="2"/>
      <c r="F237" s="3"/>
      <c r="G237" s="3"/>
    </row>
    <row r="238" spans="5:7" x14ac:dyDescent="0.2">
      <c r="E238" s="2"/>
      <c r="F238" s="3"/>
      <c r="G238" s="3"/>
    </row>
    <row r="239" spans="5:7" x14ac:dyDescent="0.2">
      <c r="E239" s="2"/>
      <c r="F239" s="3"/>
      <c r="G239" s="3"/>
    </row>
    <row r="240" spans="5:7" x14ac:dyDescent="0.2">
      <c r="E240" s="2"/>
      <c r="F240" s="3"/>
      <c r="G240" s="3"/>
    </row>
    <row r="241" spans="5:7" x14ac:dyDescent="0.2">
      <c r="E241" s="2"/>
      <c r="F241" s="3"/>
      <c r="G241" s="3"/>
    </row>
    <row r="242" spans="5:7" x14ac:dyDescent="0.2">
      <c r="E242" s="2"/>
      <c r="F242" s="3"/>
      <c r="G242" s="3"/>
    </row>
    <row r="243" spans="5:7" x14ac:dyDescent="0.2">
      <c r="E243" s="2"/>
      <c r="F243" s="3"/>
      <c r="G243" s="3"/>
    </row>
    <row r="244" spans="5:7" x14ac:dyDescent="0.2">
      <c r="E244" s="2"/>
      <c r="F244" s="3"/>
      <c r="G244" s="3"/>
    </row>
    <row r="245" spans="5:7" x14ac:dyDescent="0.2">
      <c r="E245" s="2"/>
      <c r="F245" s="3"/>
      <c r="G245" s="3"/>
    </row>
    <row r="246" spans="5:7" x14ac:dyDescent="0.2">
      <c r="E246" s="2"/>
      <c r="F246" s="3"/>
      <c r="G246" s="3"/>
    </row>
    <row r="247" spans="5:7" x14ac:dyDescent="0.2">
      <c r="E247" s="2"/>
      <c r="F247" s="3"/>
      <c r="G247" s="3"/>
    </row>
    <row r="248" spans="5:7" x14ac:dyDescent="0.2">
      <c r="E248" s="2"/>
      <c r="F248" s="3"/>
      <c r="G248" s="3"/>
    </row>
    <row r="249" spans="5:7" x14ac:dyDescent="0.2">
      <c r="E249" s="2"/>
      <c r="F249" s="3"/>
      <c r="G249" s="3"/>
    </row>
    <row r="250" spans="5:7" x14ac:dyDescent="0.2">
      <c r="E250" s="2"/>
      <c r="F250" s="3"/>
      <c r="G250" s="3"/>
    </row>
    <row r="251" spans="5:7" x14ac:dyDescent="0.2">
      <c r="E251" s="2"/>
      <c r="F251" s="3"/>
      <c r="G251" s="3"/>
    </row>
    <row r="252" spans="5:7" x14ac:dyDescent="0.2">
      <c r="E252" s="2"/>
      <c r="F252" s="3"/>
      <c r="G252" s="3"/>
    </row>
    <row r="253" spans="5:7" x14ac:dyDescent="0.2">
      <c r="E253" s="2"/>
      <c r="F253" s="3"/>
      <c r="G253" s="3"/>
    </row>
    <row r="254" spans="5:7" x14ac:dyDescent="0.2">
      <c r="E254" s="2"/>
      <c r="F254" s="3"/>
      <c r="G254" s="3"/>
    </row>
    <row r="255" spans="5:7" x14ac:dyDescent="0.2">
      <c r="E255" s="2"/>
      <c r="F255" s="3"/>
      <c r="G255" s="3"/>
    </row>
    <row r="256" spans="5:7" x14ac:dyDescent="0.2">
      <c r="E256" s="2"/>
      <c r="F256" s="3"/>
      <c r="G256" s="3"/>
    </row>
    <row r="257" spans="5:7" x14ac:dyDescent="0.2">
      <c r="E257" s="2"/>
      <c r="F257" s="3"/>
      <c r="G257" s="3"/>
    </row>
    <row r="258" spans="5:7" x14ac:dyDescent="0.2">
      <c r="E258" s="2"/>
      <c r="F258" s="3"/>
      <c r="G258" s="3"/>
    </row>
    <row r="259" spans="5:7" x14ac:dyDescent="0.2">
      <c r="E259" s="2"/>
      <c r="F259" s="3"/>
      <c r="G259" s="3"/>
    </row>
    <row r="260" spans="5:7" x14ac:dyDescent="0.2">
      <c r="E260" s="2"/>
      <c r="F260" s="3"/>
      <c r="G260" s="3"/>
    </row>
    <row r="261" spans="5:7" x14ac:dyDescent="0.2">
      <c r="E261" s="2"/>
      <c r="F261" s="3"/>
      <c r="G261" s="3"/>
    </row>
    <row r="262" spans="5:7" x14ac:dyDescent="0.2">
      <c r="E262" s="2"/>
      <c r="F262" s="3"/>
      <c r="G262" s="3"/>
    </row>
    <row r="263" spans="5:7" x14ac:dyDescent="0.2">
      <c r="E263" s="2"/>
      <c r="F263" s="3"/>
      <c r="G263" s="3"/>
    </row>
    <row r="264" spans="5:7" x14ac:dyDescent="0.2">
      <c r="E264" s="2"/>
      <c r="F264" s="3"/>
      <c r="G264" s="3"/>
    </row>
    <row r="265" spans="5:7" x14ac:dyDescent="0.2">
      <c r="E265" s="2"/>
      <c r="F265" s="3"/>
      <c r="G265" s="3"/>
    </row>
    <row r="266" spans="5:7" x14ac:dyDescent="0.2">
      <c r="E266" s="2"/>
      <c r="F266" s="3"/>
      <c r="G266" s="3"/>
    </row>
    <row r="267" spans="5:7" x14ac:dyDescent="0.2">
      <c r="E267" s="2"/>
      <c r="F267" s="3"/>
      <c r="G267" s="3"/>
    </row>
    <row r="268" spans="5:7" x14ac:dyDescent="0.2">
      <c r="E268" s="2"/>
      <c r="F268" s="3"/>
      <c r="G268" s="3"/>
    </row>
    <row r="269" spans="5:7" x14ac:dyDescent="0.2">
      <c r="E269" s="2"/>
      <c r="F269" s="3"/>
      <c r="G269" s="3"/>
    </row>
    <row r="270" spans="5:7" x14ac:dyDescent="0.2">
      <c r="E270" s="2"/>
      <c r="F270" s="3"/>
      <c r="G270" s="3"/>
    </row>
    <row r="271" spans="5:7" x14ac:dyDescent="0.2">
      <c r="E271" s="2"/>
      <c r="F271" s="3"/>
      <c r="G271" s="3"/>
    </row>
    <row r="272" spans="5:7" x14ac:dyDescent="0.2">
      <c r="E272" s="2"/>
      <c r="F272" s="3"/>
      <c r="G272" s="3"/>
    </row>
    <row r="273" spans="5:7" x14ac:dyDescent="0.2">
      <c r="E273" s="2"/>
      <c r="F273" s="3"/>
      <c r="G273" s="3"/>
    </row>
    <row r="274" spans="5:7" x14ac:dyDescent="0.2">
      <c r="E274" s="2"/>
      <c r="F274" s="3"/>
      <c r="G274" s="3"/>
    </row>
    <row r="275" spans="5:7" x14ac:dyDescent="0.2">
      <c r="E275" s="2"/>
      <c r="F275" s="3"/>
      <c r="G275" s="3"/>
    </row>
    <row r="276" spans="5:7" x14ac:dyDescent="0.2">
      <c r="E276" s="2"/>
      <c r="F276" s="3"/>
      <c r="G276" s="3"/>
    </row>
    <row r="277" spans="5:7" x14ac:dyDescent="0.2">
      <c r="E277" s="2"/>
      <c r="F277" s="3"/>
      <c r="G277" s="3"/>
    </row>
    <row r="278" spans="5:7" x14ac:dyDescent="0.2">
      <c r="E278" s="2"/>
      <c r="F278" s="3"/>
      <c r="G278" s="3"/>
    </row>
    <row r="279" spans="5:7" x14ac:dyDescent="0.2">
      <c r="E279" s="2"/>
      <c r="F279" s="3"/>
      <c r="G279" s="3"/>
    </row>
    <row r="280" spans="5:7" x14ac:dyDescent="0.2">
      <c r="E280" s="2"/>
      <c r="F280" s="3"/>
      <c r="G280" s="3"/>
    </row>
    <row r="281" spans="5:7" x14ac:dyDescent="0.2">
      <c r="E281" s="2"/>
      <c r="F281" s="3"/>
      <c r="G281" s="3"/>
    </row>
    <row r="282" spans="5:7" x14ac:dyDescent="0.2">
      <c r="E282" s="2"/>
      <c r="F282" s="3"/>
      <c r="G282" s="3"/>
    </row>
    <row r="283" spans="5:7" x14ac:dyDescent="0.2">
      <c r="E283" s="2"/>
      <c r="F283" s="3"/>
      <c r="G283" s="3"/>
    </row>
    <row r="284" spans="5:7" x14ac:dyDescent="0.2">
      <c r="E284" s="2"/>
      <c r="F284" s="3"/>
      <c r="G284" s="3"/>
    </row>
    <row r="285" spans="5:7" x14ac:dyDescent="0.2">
      <c r="E285" s="2"/>
      <c r="F285" s="3"/>
      <c r="G285" s="3"/>
    </row>
    <row r="286" spans="5:7" x14ac:dyDescent="0.2">
      <c r="E286" s="2"/>
      <c r="F286" s="3"/>
      <c r="G286" s="3"/>
    </row>
    <row r="287" spans="5:7" x14ac:dyDescent="0.2">
      <c r="E287" s="2"/>
      <c r="F287" s="3"/>
      <c r="G287" s="3"/>
    </row>
    <row r="288" spans="5:7" x14ac:dyDescent="0.2">
      <c r="E288" s="2"/>
      <c r="F288" s="3"/>
      <c r="G288" s="3"/>
    </row>
    <row r="289" spans="5:7" x14ac:dyDescent="0.2">
      <c r="E289" s="2"/>
      <c r="F289" s="3"/>
      <c r="G289" s="3"/>
    </row>
    <row r="290" spans="5:7" x14ac:dyDescent="0.2">
      <c r="E290" s="2"/>
      <c r="F290" s="3"/>
      <c r="G290" s="3"/>
    </row>
    <row r="291" spans="5:7" x14ac:dyDescent="0.2">
      <c r="E291" s="2"/>
      <c r="F291" s="3"/>
      <c r="G291" s="3"/>
    </row>
    <row r="292" spans="5:7" x14ac:dyDescent="0.2">
      <c r="E292" s="2"/>
      <c r="F292" s="3"/>
      <c r="G292" s="3"/>
    </row>
    <row r="293" spans="5:7" x14ac:dyDescent="0.2">
      <c r="E293" s="2"/>
      <c r="F293" s="3"/>
      <c r="G293" s="3"/>
    </row>
    <row r="294" spans="5:7" x14ac:dyDescent="0.2">
      <c r="E294" s="2"/>
      <c r="F294" s="3"/>
      <c r="G294" s="3"/>
    </row>
    <row r="295" spans="5:7" x14ac:dyDescent="0.2">
      <c r="E295" s="2"/>
      <c r="F295" s="3"/>
      <c r="G295" s="3"/>
    </row>
    <row r="296" spans="5:7" x14ac:dyDescent="0.2">
      <c r="E296" s="2"/>
      <c r="F296" s="3"/>
      <c r="G296" s="3"/>
    </row>
    <row r="297" spans="5:7" x14ac:dyDescent="0.2">
      <c r="E297" s="2"/>
      <c r="F297" s="3"/>
      <c r="G297" s="3"/>
    </row>
    <row r="298" spans="5:7" x14ac:dyDescent="0.2">
      <c r="E298" s="2"/>
      <c r="F298" s="3"/>
      <c r="G298" s="3"/>
    </row>
    <row r="299" spans="5:7" x14ac:dyDescent="0.2">
      <c r="E299" s="2"/>
      <c r="F299" s="3"/>
      <c r="G299" s="3"/>
    </row>
    <row r="300" spans="5:7" x14ac:dyDescent="0.2">
      <c r="E300" s="2"/>
      <c r="F300" s="3"/>
      <c r="G300" s="3"/>
    </row>
    <row r="301" spans="5:7" x14ac:dyDescent="0.2">
      <c r="E301" s="2"/>
      <c r="F301" s="3"/>
      <c r="G301" s="3"/>
    </row>
    <row r="302" spans="5:7" x14ac:dyDescent="0.2">
      <c r="E302" s="2"/>
      <c r="F302" s="3"/>
      <c r="G302" s="3"/>
    </row>
    <row r="303" spans="5:7" x14ac:dyDescent="0.2">
      <c r="E303" s="2"/>
      <c r="F303" s="3"/>
      <c r="G303" s="3"/>
    </row>
    <row r="304" spans="5:7" x14ac:dyDescent="0.2">
      <c r="E304" s="2"/>
      <c r="F304" s="3"/>
      <c r="G304" s="3"/>
    </row>
    <row r="305" spans="5:7" x14ac:dyDescent="0.2">
      <c r="E305" s="2"/>
      <c r="F305" s="3"/>
      <c r="G305" s="3"/>
    </row>
    <row r="306" spans="5:7" x14ac:dyDescent="0.2">
      <c r="E306" s="2"/>
      <c r="F306" s="3"/>
      <c r="G306" s="3"/>
    </row>
    <row r="307" spans="5:7" x14ac:dyDescent="0.2">
      <c r="E307" s="2"/>
      <c r="F307" s="3"/>
      <c r="G307" s="3"/>
    </row>
    <row r="308" spans="5:7" x14ac:dyDescent="0.2">
      <c r="E308" s="2"/>
      <c r="F308" s="3"/>
      <c r="G308" s="3"/>
    </row>
    <row r="309" spans="5:7" x14ac:dyDescent="0.2">
      <c r="E309" s="2"/>
      <c r="F309" s="3"/>
      <c r="G309" s="3"/>
    </row>
    <row r="310" spans="5:7" x14ac:dyDescent="0.2">
      <c r="E310" s="2"/>
      <c r="F310" s="3"/>
      <c r="G310" s="3"/>
    </row>
    <row r="311" spans="5:7" x14ac:dyDescent="0.2">
      <c r="E311" s="2"/>
      <c r="F311" s="3"/>
      <c r="G311" s="3"/>
    </row>
    <row r="312" spans="5:7" x14ac:dyDescent="0.2">
      <c r="E312" s="2"/>
      <c r="F312" s="3"/>
      <c r="G312" s="3"/>
    </row>
    <row r="313" spans="5:7" x14ac:dyDescent="0.2">
      <c r="E313" s="2"/>
      <c r="F313" s="3"/>
      <c r="G313" s="3"/>
    </row>
    <row r="314" spans="5:7" x14ac:dyDescent="0.2">
      <c r="E314" s="2"/>
      <c r="F314" s="3"/>
      <c r="G314" s="3"/>
    </row>
    <row r="315" spans="5:7" x14ac:dyDescent="0.2">
      <c r="E315" s="2"/>
      <c r="F315" s="3"/>
      <c r="G315" s="3"/>
    </row>
    <row r="316" spans="5:7" x14ac:dyDescent="0.2">
      <c r="E316" s="2"/>
      <c r="F316" s="3"/>
      <c r="G316" s="3"/>
    </row>
    <row r="317" spans="5:7" x14ac:dyDescent="0.2">
      <c r="E317" s="2"/>
      <c r="F317" s="3"/>
      <c r="G317" s="3"/>
    </row>
    <row r="318" spans="5:7" x14ac:dyDescent="0.2">
      <c r="E318" s="2"/>
      <c r="F318" s="3"/>
      <c r="G318" s="3"/>
    </row>
    <row r="319" spans="5:7" x14ac:dyDescent="0.2">
      <c r="E319" s="2"/>
      <c r="F319" s="3"/>
      <c r="G319" s="3"/>
    </row>
    <row r="320" spans="5:7" x14ac:dyDescent="0.2">
      <c r="E320" s="2"/>
      <c r="F320" s="3"/>
      <c r="G320" s="3"/>
    </row>
    <row r="321" spans="5:7" x14ac:dyDescent="0.2">
      <c r="E321" s="2"/>
      <c r="F321" s="3"/>
      <c r="G321" s="3"/>
    </row>
    <row r="322" spans="5:7" x14ac:dyDescent="0.2">
      <c r="E322" s="2"/>
      <c r="F322" s="3"/>
      <c r="G322" s="3"/>
    </row>
    <row r="323" spans="5:7" x14ac:dyDescent="0.2">
      <c r="E323" s="2"/>
      <c r="F323" s="3"/>
      <c r="G323" s="3"/>
    </row>
    <row r="324" spans="5:7" x14ac:dyDescent="0.2">
      <c r="E324" s="2"/>
      <c r="F324" s="3"/>
      <c r="G324" s="3"/>
    </row>
    <row r="325" spans="5:7" x14ac:dyDescent="0.2">
      <c r="E325" s="2"/>
      <c r="F325" s="3"/>
      <c r="G325" s="3"/>
    </row>
    <row r="326" spans="5:7" x14ac:dyDescent="0.2">
      <c r="E326" s="2"/>
      <c r="F326" s="3"/>
      <c r="G326" s="3"/>
    </row>
    <row r="327" spans="5:7" x14ac:dyDescent="0.2">
      <c r="E327" s="2"/>
      <c r="F327" s="3"/>
      <c r="G327" s="3"/>
    </row>
    <row r="328" spans="5:7" x14ac:dyDescent="0.2">
      <c r="E328" s="2"/>
      <c r="F328" s="3"/>
      <c r="G328" s="3"/>
    </row>
    <row r="329" spans="5:7" x14ac:dyDescent="0.2">
      <c r="E329" s="2"/>
      <c r="F329" s="3"/>
      <c r="G329" s="3"/>
    </row>
    <row r="330" spans="5:7" x14ac:dyDescent="0.2">
      <c r="E330" s="2"/>
      <c r="F330" s="3"/>
      <c r="G330" s="3"/>
    </row>
    <row r="331" spans="5:7" x14ac:dyDescent="0.2">
      <c r="E331" s="2"/>
      <c r="F331" s="3"/>
      <c r="G331" s="3"/>
    </row>
    <row r="332" spans="5:7" x14ac:dyDescent="0.2">
      <c r="E332" s="2"/>
      <c r="F332" s="3"/>
      <c r="G332" s="3"/>
    </row>
    <row r="333" spans="5:7" x14ac:dyDescent="0.2">
      <c r="E333" s="2"/>
      <c r="F333" s="3"/>
      <c r="G333" s="3"/>
    </row>
    <row r="334" spans="5:7" x14ac:dyDescent="0.2">
      <c r="E334" s="2"/>
      <c r="F334" s="3"/>
      <c r="G334" s="3"/>
    </row>
    <row r="335" spans="5:7" x14ac:dyDescent="0.2">
      <c r="E335" s="2"/>
      <c r="F335" s="3"/>
      <c r="G335" s="3"/>
    </row>
    <row r="336" spans="5:7" x14ac:dyDescent="0.2">
      <c r="E336" s="2"/>
      <c r="F336" s="3"/>
      <c r="G336" s="3"/>
    </row>
    <row r="337" spans="5:7" x14ac:dyDescent="0.2">
      <c r="E337" s="2"/>
      <c r="F337" s="3"/>
      <c r="G337" s="3"/>
    </row>
    <row r="338" spans="5:7" x14ac:dyDescent="0.2">
      <c r="E338" s="2"/>
      <c r="F338" s="3"/>
      <c r="G338" s="3"/>
    </row>
    <row r="339" spans="5:7" x14ac:dyDescent="0.2">
      <c r="E339" s="2"/>
      <c r="F339" s="3"/>
      <c r="G339" s="3"/>
    </row>
    <row r="340" spans="5:7" x14ac:dyDescent="0.2">
      <c r="E340" s="2"/>
      <c r="F340" s="3"/>
      <c r="G340" s="3"/>
    </row>
    <row r="341" spans="5:7" x14ac:dyDescent="0.2">
      <c r="E341" s="2"/>
      <c r="F341" s="3"/>
      <c r="G341" s="3"/>
    </row>
    <row r="342" spans="5:7" x14ac:dyDescent="0.2">
      <c r="E342" s="2"/>
      <c r="F342" s="3"/>
      <c r="G342" s="3"/>
    </row>
    <row r="343" spans="5:7" x14ac:dyDescent="0.2">
      <c r="E343" s="2"/>
      <c r="F343" s="3"/>
      <c r="G343" s="3"/>
    </row>
    <row r="344" spans="5:7" x14ac:dyDescent="0.2">
      <c r="E344" s="2"/>
      <c r="F344" s="3"/>
      <c r="G344" s="3"/>
    </row>
    <row r="345" spans="5:7" x14ac:dyDescent="0.2">
      <c r="E345" s="2"/>
      <c r="F345" s="3"/>
      <c r="G345" s="3"/>
    </row>
    <row r="346" spans="5:7" x14ac:dyDescent="0.2">
      <c r="E346" s="2"/>
      <c r="F346" s="3"/>
      <c r="G346" s="3"/>
    </row>
    <row r="347" spans="5:7" x14ac:dyDescent="0.2">
      <c r="E347" s="2"/>
      <c r="F347" s="3"/>
      <c r="G347" s="3"/>
    </row>
    <row r="348" spans="5:7" x14ac:dyDescent="0.2">
      <c r="E348" s="2"/>
      <c r="F348" s="3"/>
      <c r="G348" s="3"/>
    </row>
    <row r="349" spans="5:7" x14ac:dyDescent="0.2">
      <c r="E349" s="2"/>
      <c r="F349" s="3"/>
      <c r="G349" s="3"/>
    </row>
    <row r="350" spans="5:7" x14ac:dyDescent="0.2">
      <c r="E350" s="2"/>
      <c r="F350" s="3"/>
      <c r="G350" s="3"/>
    </row>
    <row r="351" spans="5:7" x14ac:dyDescent="0.2">
      <c r="E351" s="2"/>
      <c r="F351" s="3"/>
      <c r="G351" s="3"/>
    </row>
    <row r="352" spans="5:7" x14ac:dyDescent="0.2">
      <c r="E352" s="2"/>
      <c r="F352" s="3"/>
      <c r="G352" s="3"/>
    </row>
    <row r="353" spans="5:7" x14ac:dyDescent="0.2">
      <c r="E353" s="2"/>
      <c r="F353" s="3"/>
      <c r="G353" s="3"/>
    </row>
    <row r="354" spans="5:7" x14ac:dyDescent="0.2">
      <c r="E354" s="2"/>
      <c r="F354" s="3"/>
      <c r="G354" s="3"/>
    </row>
    <row r="355" spans="5:7" x14ac:dyDescent="0.2">
      <c r="E355" s="2"/>
      <c r="F355" s="3"/>
      <c r="G355" s="3"/>
    </row>
    <row r="356" spans="5:7" x14ac:dyDescent="0.2">
      <c r="E356" s="2"/>
      <c r="F356" s="3"/>
      <c r="G356" s="3"/>
    </row>
    <row r="357" spans="5:7" x14ac:dyDescent="0.2">
      <c r="E357" s="2"/>
      <c r="F357" s="3"/>
      <c r="G357" s="3"/>
    </row>
    <row r="358" spans="5:7" x14ac:dyDescent="0.2">
      <c r="E358" s="2"/>
      <c r="F358" s="3"/>
      <c r="G358" s="3"/>
    </row>
    <row r="359" spans="5:7" x14ac:dyDescent="0.2">
      <c r="E359" s="2"/>
      <c r="F359" s="3"/>
      <c r="G359" s="3"/>
    </row>
    <row r="360" spans="5:7" x14ac:dyDescent="0.2">
      <c r="E360" s="2"/>
      <c r="F360" s="3"/>
      <c r="G360" s="3"/>
    </row>
    <row r="361" spans="5:7" x14ac:dyDescent="0.2">
      <c r="E361" s="2"/>
      <c r="F361" s="3"/>
      <c r="G361" s="3"/>
    </row>
    <row r="362" spans="5:7" x14ac:dyDescent="0.2">
      <c r="E362" s="2"/>
      <c r="F362" s="3"/>
      <c r="G362" s="3"/>
    </row>
    <row r="363" spans="5:7" x14ac:dyDescent="0.2">
      <c r="E363" s="2"/>
      <c r="F363" s="3"/>
      <c r="G363" s="3"/>
    </row>
    <row r="364" spans="5:7" x14ac:dyDescent="0.2">
      <c r="E364" s="2"/>
      <c r="F364" s="3"/>
      <c r="G364" s="3"/>
    </row>
    <row r="365" spans="5:7" x14ac:dyDescent="0.2">
      <c r="E365" s="2"/>
      <c r="F365" s="3"/>
      <c r="G365" s="3"/>
    </row>
    <row r="366" spans="5:7" x14ac:dyDescent="0.2">
      <c r="E366" s="2"/>
      <c r="F366" s="3"/>
      <c r="G366" s="3"/>
    </row>
    <row r="367" spans="5:7" x14ac:dyDescent="0.2">
      <c r="E367" s="2"/>
      <c r="F367" s="3"/>
      <c r="G367" s="3"/>
    </row>
    <row r="368" spans="5:7" x14ac:dyDescent="0.2">
      <c r="E368" s="2"/>
      <c r="F368" s="3"/>
      <c r="G368" s="3"/>
    </row>
    <row r="369" spans="5:7" x14ac:dyDescent="0.2">
      <c r="E369" s="2"/>
      <c r="F369" s="3"/>
      <c r="G369" s="3"/>
    </row>
    <row r="370" spans="5:7" x14ac:dyDescent="0.2">
      <c r="E370" s="2"/>
      <c r="F370" s="3"/>
      <c r="G370" s="3"/>
    </row>
    <row r="371" spans="5:7" x14ac:dyDescent="0.2">
      <c r="E371" s="2"/>
      <c r="F371" s="3"/>
      <c r="G371" s="3"/>
    </row>
    <row r="372" spans="5:7" x14ac:dyDescent="0.2">
      <c r="E372" s="2"/>
      <c r="F372" s="3"/>
      <c r="G372" s="3"/>
    </row>
    <row r="373" spans="5:7" x14ac:dyDescent="0.2">
      <c r="E373" s="2"/>
      <c r="F373" s="3"/>
      <c r="G373" s="3"/>
    </row>
    <row r="374" spans="5:7" x14ac:dyDescent="0.2">
      <c r="E374" s="2"/>
      <c r="F374" s="3"/>
      <c r="G374" s="3"/>
    </row>
    <row r="375" spans="5:7" x14ac:dyDescent="0.2">
      <c r="E375" s="2"/>
      <c r="F375" s="3"/>
      <c r="G375" s="3"/>
    </row>
    <row r="376" spans="5:7" x14ac:dyDescent="0.2">
      <c r="E376" s="2"/>
      <c r="F376" s="3"/>
      <c r="G376" s="3"/>
    </row>
    <row r="377" spans="5:7" x14ac:dyDescent="0.2">
      <c r="E377" s="2"/>
      <c r="F377" s="3"/>
      <c r="G377" s="3"/>
    </row>
    <row r="378" spans="5:7" x14ac:dyDescent="0.2">
      <c r="E378" s="2"/>
      <c r="F378" s="3"/>
      <c r="G378" s="3"/>
    </row>
    <row r="379" spans="5:7" x14ac:dyDescent="0.2">
      <c r="E379" s="2"/>
      <c r="F379" s="3"/>
      <c r="G379" s="3"/>
    </row>
    <row r="380" spans="5:7" x14ac:dyDescent="0.2">
      <c r="E380" s="2"/>
      <c r="F380" s="3"/>
      <c r="G380" s="3"/>
    </row>
    <row r="381" spans="5:7" x14ac:dyDescent="0.2">
      <c r="E381" s="2"/>
      <c r="F381" s="3"/>
      <c r="G381" s="3"/>
    </row>
    <row r="382" spans="5:7" x14ac:dyDescent="0.2">
      <c r="E382" s="2"/>
      <c r="F382" s="3"/>
      <c r="G382" s="3"/>
    </row>
    <row r="383" spans="5:7" x14ac:dyDescent="0.2">
      <c r="E383" s="2"/>
      <c r="F383" s="3"/>
      <c r="G383" s="3"/>
    </row>
    <row r="384" spans="5:7" x14ac:dyDescent="0.2">
      <c r="E384" s="2"/>
      <c r="F384" s="3"/>
      <c r="G384" s="3"/>
    </row>
    <row r="385" spans="5:7" x14ac:dyDescent="0.2">
      <c r="E385" s="2"/>
      <c r="F385" s="3"/>
      <c r="G385" s="3"/>
    </row>
    <row r="386" spans="5:7" x14ac:dyDescent="0.2">
      <c r="E386" s="2"/>
      <c r="F386" s="3"/>
      <c r="G386" s="3"/>
    </row>
    <row r="387" spans="5:7" x14ac:dyDescent="0.2">
      <c r="E387" s="2"/>
      <c r="F387" s="3"/>
      <c r="G387" s="3"/>
    </row>
    <row r="388" spans="5:7" x14ac:dyDescent="0.2">
      <c r="E388" s="2"/>
      <c r="F388" s="3"/>
      <c r="G388" s="3"/>
    </row>
    <row r="389" spans="5:7" x14ac:dyDescent="0.2">
      <c r="E389" s="2"/>
      <c r="F389" s="3"/>
      <c r="G389" s="3"/>
    </row>
    <row r="390" spans="5:7" x14ac:dyDescent="0.2">
      <c r="E390" s="2"/>
      <c r="F390" s="3"/>
      <c r="G390" s="3"/>
    </row>
    <row r="391" spans="5:7" x14ac:dyDescent="0.2">
      <c r="E391" s="2"/>
      <c r="F391" s="3"/>
      <c r="G391" s="3"/>
    </row>
    <row r="392" spans="5:7" x14ac:dyDescent="0.2">
      <c r="E392" s="2"/>
      <c r="F392" s="3"/>
      <c r="G392" s="3"/>
    </row>
    <row r="393" spans="5:7" x14ac:dyDescent="0.2">
      <c r="E393" s="2"/>
      <c r="F393" s="3"/>
      <c r="G393" s="3"/>
    </row>
    <row r="394" spans="5:7" x14ac:dyDescent="0.2">
      <c r="E394" s="2"/>
      <c r="F394" s="3"/>
      <c r="G394" s="3"/>
    </row>
    <row r="395" spans="5:7" x14ac:dyDescent="0.2">
      <c r="E395" s="2"/>
      <c r="F395" s="3"/>
      <c r="G395" s="3"/>
    </row>
    <row r="396" spans="5:7" x14ac:dyDescent="0.2">
      <c r="E396" s="2"/>
      <c r="F396" s="3"/>
      <c r="G396" s="3"/>
    </row>
    <row r="397" spans="5:7" x14ac:dyDescent="0.2">
      <c r="E397" s="2"/>
      <c r="F397" s="3"/>
      <c r="G397" s="3"/>
    </row>
    <row r="398" spans="5:7" x14ac:dyDescent="0.2">
      <c r="E398" s="2"/>
      <c r="F398" s="3"/>
      <c r="G398" s="3"/>
    </row>
    <row r="399" spans="5:7" x14ac:dyDescent="0.2">
      <c r="E399" s="2"/>
      <c r="F399" s="3"/>
      <c r="G399" s="3"/>
    </row>
    <row r="400" spans="5:7" x14ac:dyDescent="0.2">
      <c r="E400" s="2"/>
      <c r="F400" s="3"/>
      <c r="G400" s="3"/>
    </row>
    <row r="401" spans="5:7" x14ac:dyDescent="0.2">
      <c r="E401" s="2"/>
      <c r="F401" s="3"/>
      <c r="G401" s="3"/>
    </row>
    <row r="402" spans="5:7" x14ac:dyDescent="0.2">
      <c r="E402" s="2"/>
      <c r="F402" s="3"/>
      <c r="G402" s="3"/>
    </row>
    <row r="403" spans="5:7" x14ac:dyDescent="0.2">
      <c r="E403" s="2"/>
      <c r="F403" s="3"/>
      <c r="G403" s="3"/>
    </row>
    <row r="404" spans="5:7" x14ac:dyDescent="0.2">
      <c r="E404" s="2"/>
      <c r="F404" s="3"/>
      <c r="G404" s="3"/>
    </row>
    <row r="405" spans="5:7" x14ac:dyDescent="0.2">
      <c r="E405" s="2"/>
      <c r="F405" s="3"/>
      <c r="G405" s="3"/>
    </row>
    <row r="406" spans="5:7" x14ac:dyDescent="0.2">
      <c r="E406" s="2"/>
      <c r="F406" s="3"/>
      <c r="G406" s="3"/>
    </row>
    <row r="407" spans="5:7" x14ac:dyDescent="0.2">
      <c r="E407" s="2"/>
      <c r="F407" s="3"/>
      <c r="G407" s="3"/>
    </row>
    <row r="408" spans="5:7" x14ac:dyDescent="0.2">
      <c r="E408" s="2"/>
      <c r="F408" s="3"/>
      <c r="G408" s="3"/>
    </row>
    <row r="409" spans="5:7" x14ac:dyDescent="0.2">
      <c r="E409" s="2"/>
      <c r="F409" s="3"/>
      <c r="G409" s="3"/>
    </row>
    <row r="410" spans="5:7" x14ac:dyDescent="0.2">
      <c r="E410" s="2"/>
      <c r="F410" s="3"/>
      <c r="G410" s="3"/>
    </row>
    <row r="411" spans="5:7" x14ac:dyDescent="0.2">
      <c r="E411" s="2"/>
      <c r="F411" s="3"/>
      <c r="G411" s="3"/>
    </row>
    <row r="412" spans="5:7" x14ac:dyDescent="0.2">
      <c r="E412" s="2"/>
      <c r="F412" s="3"/>
      <c r="G412" s="3"/>
    </row>
    <row r="413" spans="5:7" x14ac:dyDescent="0.2">
      <c r="E413" s="2"/>
      <c r="F413" s="3"/>
      <c r="G413" s="3"/>
    </row>
    <row r="414" spans="5:7" x14ac:dyDescent="0.2">
      <c r="E414" s="2"/>
      <c r="F414" s="3"/>
      <c r="G414" s="3"/>
    </row>
    <row r="415" spans="5:7" x14ac:dyDescent="0.2">
      <c r="E415" s="2"/>
      <c r="F415" s="3"/>
      <c r="G415" s="3"/>
    </row>
    <row r="416" spans="5:7" x14ac:dyDescent="0.2">
      <c r="E416" s="2"/>
      <c r="F416" s="3"/>
      <c r="G416" s="3"/>
    </row>
    <row r="417" spans="5:7" x14ac:dyDescent="0.2">
      <c r="E417" s="2"/>
      <c r="F417" s="3"/>
      <c r="G417" s="3"/>
    </row>
    <row r="418" spans="5:7" x14ac:dyDescent="0.2">
      <c r="E418" s="2"/>
      <c r="F418" s="3"/>
      <c r="G418" s="3"/>
    </row>
    <row r="419" spans="5:7" x14ac:dyDescent="0.2">
      <c r="E419" s="2"/>
      <c r="F419" s="3"/>
      <c r="G419" s="3"/>
    </row>
    <row r="420" spans="5:7" x14ac:dyDescent="0.2">
      <c r="E420" s="2"/>
      <c r="F420" s="3"/>
      <c r="G420" s="3"/>
    </row>
    <row r="421" spans="5:7" x14ac:dyDescent="0.2">
      <c r="E421" s="2"/>
      <c r="F421" s="3"/>
      <c r="G421" s="3"/>
    </row>
    <row r="422" spans="5:7" x14ac:dyDescent="0.2">
      <c r="E422" s="2"/>
      <c r="F422" s="3"/>
      <c r="G422" s="3"/>
    </row>
    <row r="423" spans="5:7" x14ac:dyDescent="0.2">
      <c r="E423" s="2"/>
      <c r="F423" s="3"/>
      <c r="G423" s="3"/>
    </row>
    <row r="424" spans="5:7" x14ac:dyDescent="0.2">
      <c r="E424" s="2"/>
      <c r="F424" s="3"/>
      <c r="G424" s="3"/>
    </row>
    <row r="425" spans="5:7" x14ac:dyDescent="0.2">
      <c r="E425" s="2"/>
      <c r="F425" s="3"/>
      <c r="G425" s="3"/>
    </row>
    <row r="426" spans="5:7" x14ac:dyDescent="0.2">
      <c r="E426" s="2"/>
      <c r="F426" s="3"/>
      <c r="G426" s="3"/>
    </row>
    <row r="427" spans="5:7" x14ac:dyDescent="0.2">
      <c r="E427" s="2"/>
      <c r="F427" s="3"/>
      <c r="G427" s="3"/>
    </row>
    <row r="428" spans="5:7" x14ac:dyDescent="0.2">
      <c r="E428" s="2"/>
      <c r="F428" s="3"/>
      <c r="G428" s="3"/>
    </row>
    <row r="429" spans="5:7" x14ac:dyDescent="0.2">
      <c r="E429" s="2"/>
      <c r="F429" s="3"/>
      <c r="G429" s="3"/>
    </row>
    <row r="430" spans="5:7" x14ac:dyDescent="0.2">
      <c r="E430" s="2"/>
      <c r="F430" s="3"/>
      <c r="G430" s="3"/>
    </row>
    <row r="431" spans="5:7" x14ac:dyDescent="0.2">
      <c r="E431" s="2"/>
      <c r="F431" s="3"/>
      <c r="G431" s="3"/>
    </row>
    <row r="432" spans="5:7" x14ac:dyDescent="0.2">
      <c r="E432" s="2"/>
      <c r="F432" s="3"/>
      <c r="G432" s="3"/>
    </row>
    <row r="433" spans="5:7" x14ac:dyDescent="0.2">
      <c r="E433" s="2"/>
      <c r="F433" s="3"/>
      <c r="G433" s="3"/>
    </row>
    <row r="434" spans="5:7" x14ac:dyDescent="0.2">
      <c r="E434" s="2"/>
      <c r="F434" s="3"/>
      <c r="G434" s="3"/>
    </row>
    <row r="435" spans="5:7" x14ac:dyDescent="0.2">
      <c r="E435" s="2"/>
      <c r="F435" s="3"/>
      <c r="G435" s="3"/>
    </row>
    <row r="436" spans="5:7" x14ac:dyDescent="0.2">
      <c r="E436" s="2"/>
      <c r="F436" s="3"/>
      <c r="G436" s="3"/>
    </row>
    <row r="437" spans="5:7" x14ac:dyDescent="0.2">
      <c r="E437" s="2"/>
      <c r="F437" s="3"/>
      <c r="G437" s="3"/>
    </row>
    <row r="438" spans="5:7" x14ac:dyDescent="0.2">
      <c r="E438" s="2"/>
      <c r="F438" s="3"/>
      <c r="G438" s="3"/>
    </row>
    <row r="439" spans="5:7" x14ac:dyDescent="0.2">
      <c r="E439" s="2"/>
      <c r="F439" s="3"/>
      <c r="G439" s="3"/>
    </row>
    <row r="440" spans="5:7" x14ac:dyDescent="0.2">
      <c r="E440" s="2"/>
      <c r="F440" s="3"/>
      <c r="G440" s="3"/>
    </row>
    <row r="441" spans="5:7" x14ac:dyDescent="0.2">
      <c r="E441" s="2"/>
      <c r="F441" s="3"/>
      <c r="G441" s="3"/>
    </row>
    <row r="442" spans="5:7" x14ac:dyDescent="0.2">
      <c r="E442" s="2"/>
      <c r="F442" s="3"/>
      <c r="G442" s="3"/>
    </row>
    <row r="443" spans="5:7" x14ac:dyDescent="0.2">
      <c r="E443" s="2"/>
      <c r="F443" s="3"/>
      <c r="G443" s="3"/>
    </row>
    <row r="444" spans="5:7" x14ac:dyDescent="0.2">
      <c r="E444" s="2"/>
      <c r="F444" s="3"/>
      <c r="G444" s="3"/>
    </row>
    <row r="445" spans="5:7" x14ac:dyDescent="0.2">
      <c r="E445" s="2"/>
      <c r="F445" s="3"/>
      <c r="G445" s="3"/>
    </row>
    <row r="446" spans="5:7" x14ac:dyDescent="0.2">
      <c r="E446" s="2"/>
      <c r="F446" s="3"/>
      <c r="G446" s="3"/>
    </row>
    <row r="447" spans="5:7" x14ac:dyDescent="0.2">
      <c r="E447" s="2"/>
      <c r="F447" s="3"/>
      <c r="G447" s="3"/>
    </row>
    <row r="448" spans="5:7" x14ac:dyDescent="0.2">
      <c r="E448" s="2"/>
      <c r="F448" s="3"/>
      <c r="G448" s="3"/>
    </row>
    <row r="449" spans="5:7" x14ac:dyDescent="0.2">
      <c r="E449" s="2"/>
      <c r="F449" s="3"/>
      <c r="G449" s="3"/>
    </row>
    <row r="450" spans="5:7" x14ac:dyDescent="0.2">
      <c r="E450" s="2"/>
      <c r="F450" s="3"/>
      <c r="G450" s="3"/>
    </row>
    <row r="451" spans="5:7" x14ac:dyDescent="0.2">
      <c r="E451" s="2"/>
      <c r="F451" s="3"/>
      <c r="G451" s="3"/>
    </row>
    <row r="452" spans="5:7" x14ac:dyDescent="0.2">
      <c r="E452" s="2"/>
      <c r="F452" s="3"/>
      <c r="G452" s="3"/>
    </row>
    <row r="453" spans="5:7" x14ac:dyDescent="0.2">
      <c r="E453" s="2"/>
      <c r="F453" s="3"/>
      <c r="G453" s="3"/>
    </row>
    <row r="454" spans="5:7" x14ac:dyDescent="0.2">
      <c r="E454" s="2"/>
      <c r="F454" s="3"/>
      <c r="G454" s="3"/>
    </row>
    <row r="455" spans="5:7" x14ac:dyDescent="0.2">
      <c r="E455" s="2"/>
      <c r="F455" s="3"/>
      <c r="G455" s="3"/>
    </row>
    <row r="456" spans="5:7" x14ac:dyDescent="0.2">
      <c r="E456" s="2"/>
      <c r="F456" s="3"/>
      <c r="G456" s="3"/>
    </row>
    <row r="457" spans="5:7" x14ac:dyDescent="0.2">
      <c r="E457" s="2"/>
      <c r="F457" s="3"/>
      <c r="G457" s="3"/>
    </row>
    <row r="458" spans="5:7" x14ac:dyDescent="0.2">
      <c r="E458" s="2"/>
      <c r="F458" s="3"/>
      <c r="G458" s="3"/>
    </row>
    <row r="459" spans="5:7" x14ac:dyDescent="0.2">
      <c r="E459" s="2"/>
      <c r="F459" s="3"/>
      <c r="G459" s="3"/>
    </row>
    <row r="460" spans="5:7" x14ac:dyDescent="0.2">
      <c r="E460" s="2"/>
      <c r="F460" s="3"/>
      <c r="G460" s="3"/>
    </row>
    <row r="461" spans="5:7" x14ac:dyDescent="0.2">
      <c r="E461" s="2"/>
      <c r="F461" s="3"/>
      <c r="G461" s="3"/>
    </row>
    <row r="462" spans="5:7" x14ac:dyDescent="0.2">
      <c r="E462" s="2"/>
      <c r="F462" s="3"/>
      <c r="G462" s="3"/>
    </row>
    <row r="463" spans="5:7" x14ac:dyDescent="0.2">
      <c r="E463" s="2"/>
      <c r="F463" s="3"/>
      <c r="G463" s="3"/>
    </row>
    <row r="464" spans="5:7" x14ac:dyDescent="0.2">
      <c r="E464" s="2"/>
      <c r="F464" s="3"/>
      <c r="G464" s="3"/>
    </row>
    <row r="465" spans="5:7" x14ac:dyDescent="0.2">
      <c r="E465" s="2"/>
      <c r="F465" s="3"/>
      <c r="G465" s="3"/>
    </row>
    <row r="466" spans="5:7" x14ac:dyDescent="0.2">
      <c r="E466" s="2"/>
      <c r="F466" s="3"/>
      <c r="G466" s="3"/>
    </row>
    <row r="467" spans="5:7" x14ac:dyDescent="0.2">
      <c r="E467" s="2"/>
      <c r="F467" s="3"/>
      <c r="G467" s="3"/>
    </row>
    <row r="468" spans="5:7" x14ac:dyDescent="0.2">
      <c r="E468" s="2"/>
      <c r="F468" s="3"/>
      <c r="G468" s="3"/>
    </row>
    <row r="469" spans="5:7" x14ac:dyDescent="0.2">
      <c r="E469" s="2"/>
      <c r="F469" s="3"/>
      <c r="G469" s="3"/>
    </row>
    <row r="470" spans="5:7" x14ac:dyDescent="0.2">
      <c r="E470" s="2"/>
      <c r="F470" s="3"/>
      <c r="G470" s="3"/>
    </row>
    <row r="471" spans="5:7" x14ac:dyDescent="0.2">
      <c r="E471" s="2"/>
      <c r="F471" s="3"/>
      <c r="G471" s="3"/>
    </row>
    <row r="472" spans="5:7" x14ac:dyDescent="0.2">
      <c r="E472" s="2"/>
      <c r="F472" s="3"/>
      <c r="G472" s="3"/>
    </row>
    <row r="473" spans="5:7" x14ac:dyDescent="0.2">
      <c r="E473" s="2"/>
      <c r="F473" s="3"/>
      <c r="G473" s="3"/>
    </row>
    <row r="474" spans="5:7" x14ac:dyDescent="0.2">
      <c r="E474" s="2"/>
      <c r="F474" s="3"/>
      <c r="G474" s="3"/>
    </row>
    <row r="475" spans="5:7" x14ac:dyDescent="0.2">
      <c r="E475" s="2"/>
      <c r="F475" s="3"/>
      <c r="G475" s="3"/>
    </row>
    <row r="476" spans="5:7" x14ac:dyDescent="0.2">
      <c r="E476" s="2"/>
      <c r="F476" s="3"/>
      <c r="G476" s="3"/>
    </row>
    <row r="477" spans="5:7" x14ac:dyDescent="0.2">
      <c r="E477" s="2"/>
      <c r="F477" s="3"/>
      <c r="G477" s="3"/>
    </row>
    <row r="478" spans="5:7" x14ac:dyDescent="0.2">
      <c r="E478" s="2"/>
      <c r="F478" s="3"/>
      <c r="G478" s="3"/>
    </row>
    <row r="479" spans="5:7" x14ac:dyDescent="0.2">
      <c r="E479" s="2"/>
      <c r="F479" s="3"/>
      <c r="G479" s="3"/>
    </row>
    <row r="480" spans="5:7" x14ac:dyDescent="0.2">
      <c r="E480" s="2"/>
      <c r="F480" s="3"/>
      <c r="G480" s="3"/>
    </row>
    <row r="481" spans="5:7" x14ac:dyDescent="0.2">
      <c r="E481" s="2"/>
      <c r="F481" s="3"/>
      <c r="G481" s="3"/>
    </row>
    <row r="482" spans="5:7" x14ac:dyDescent="0.2">
      <c r="E482" s="2"/>
      <c r="F482" s="3"/>
      <c r="G482" s="3"/>
    </row>
    <row r="483" spans="5:7" x14ac:dyDescent="0.2">
      <c r="E483" s="2"/>
      <c r="F483" s="3"/>
      <c r="G483" s="3"/>
    </row>
    <row r="484" spans="5:7" x14ac:dyDescent="0.2">
      <c r="E484" s="2"/>
      <c r="F484" s="3"/>
      <c r="G484" s="3"/>
    </row>
    <row r="485" spans="5:7" x14ac:dyDescent="0.2">
      <c r="E485" s="2"/>
      <c r="F485" s="3"/>
      <c r="G485" s="3"/>
    </row>
    <row r="486" spans="5:7" x14ac:dyDescent="0.2">
      <c r="E486" s="2"/>
      <c r="F486" s="3"/>
      <c r="G486" s="3"/>
    </row>
    <row r="487" spans="5:7" x14ac:dyDescent="0.2">
      <c r="E487" s="2"/>
      <c r="F487" s="3"/>
      <c r="G487" s="3"/>
    </row>
    <row r="488" spans="5:7" x14ac:dyDescent="0.2">
      <c r="E488" s="2"/>
      <c r="F488" s="3"/>
      <c r="G488" s="3"/>
    </row>
    <row r="489" spans="5:7" x14ac:dyDescent="0.2">
      <c r="E489" s="2"/>
      <c r="F489" s="3"/>
      <c r="G489" s="3"/>
    </row>
    <row r="490" spans="5:7" x14ac:dyDescent="0.2">
      <c r="E490" s="2"/>
      <c r="F490" s="3"/>
      <c r="G490" s="3"/>
    </row>
    <row r="491" spans="5:7" x14ac:dyDescent="0.2">
      <c r="E491" s="2"/>
      <c r="F491" s="3"/>
      <c r="G491" s="3"/>
    </row>
    <row r="492" spans="5:7" x14ac:dyDescent="0.2">
      <c r="E492" s="2"/>
      <c r="F492" s="3"/>
      <c r="G492" s="3"/>
    </row>
    <row r="493" spans="5:7" x14ac:dyDescent="0.2">
      <c r="E493" s="2"/>
      <c r="F493" s="3"/>
      <c r="G493" s="3"/>
    </row>
    <row r="494" spans="5:7" x14ac:dyDescent="0.2">
      <c r="E494" s="2"/>
      <c r="F494" s="3"/>
      <c r="G494" s="3"/>
    </row>
    <row r="495" spans="5:7" x14ac:dyDescent="0.2">
      <c r="E495" s="2"/>
      <c r="F495" s="3"/>
      <c r="G495" s="3"/>
    </row>
    <row r="496" spans="5:7" x14ac:dyDescent="0.2">
      <c r="E496" s="2"/>
      <c r="F496" s="3"/>
      <c r="G496" s="3"/>
    </row>
    <row r="497" spans="5:7" x14ac:dyDescent="0.2">
      <c r="E497" s="2"/>
      <c r="F497" s="3"/>
      <c r="G497" s="3"/>
    </row>
    <row r="498" spans="5:7" x14ac:dyDescent="0.2">
      <c r="E498" s="2"/>
      <c r="F498" s="3"/>
      <c r="G498" s="3"/>
    </row>
    <row r="499" spans="5:7" x14ac:dyDescent="0.2">
      <c r="E499" s="2"/>
      <c r="F499" s="3"/>
      <c r="G499" s="3"/>
    </row>
    <row r="500" spans="5:7" x14ac:dyDescent="0.2">
      <c r="E500" s="2"/>
      <c r="F500" s="3"/>
      <c r="G500" s="3"/>
    </row>
    <row r="501" spans="5:7" x14ac:dyDescent="0.2">
      <c r="E501" s="2"/>
      <c r="F501" s="3"/>
      <c r="G501" s="3"/>
    </row>
    <row r="502" spans="5:7" x14ac:dyDescent="0.2">
      <c r="E502" s="2"/>
      <c r="F502" s="3"/>
      <c r="G502" s="3"/>
    </row>
    <row r="503" spans="5:7" x14ac:dyDescent="0.2">
      <c r="E503" s="2"/>
      <c r="F503" s="3"/>
      <c r="G503" s="3"/>
    </row>
    <row r="504" spans="5:7" x14ac:dyDescent="0.2">
      <c r="E504" s="2"/>
      <c r="F504" s="3"/>
      <c r="G504" s="3"/>
    </row>
    <row r="505" spans="5:7" x14ac:dyDescent="0.2">
      <c r="E505" s="2"/>
      <c r="F505" s="3"/>
      <c r="G505" s="3"/>
    </row>
    <row r="506" spans="5:7" x14ac:dyDescent="0.2">
      <c r="E506" s="2"/>
      <c r="F506" s="3"/>
      <c r="G506" s="3"/>
    </row>
    <row r="507" spans="5:7" x14ac:dyDescent="0.2">
      <c r="E507" s="2"/>
      <c r="F507" s="3"/>
      <c r="G507" s="3"/>
    </row>
    <row r="508" spans="5:7" x14ac:dyDescent="0.2">
      <c r="E508" s="2"/>
      <c r="F508" s="3"/>
      <c r="G508" s="3"/>
    </row>
    <row r="509" spans="5:7" x14ac:dyDescent="0.2">
      <c r="E509" s="2"/>
      <c r="F509" s="3"/>
      <c r="G509" s="3"/>
    </row>
    <row r="510" spans="5:7" x14ac:dyDescent="0.2">
      <c r="E510" s="2"/>
      <c r="F510" s="3"/>
      <c r="G510" s="3"/>
    </row>
    <row r="511" spans="5:7" x14ac:dyDescent="0.2">
      <c r="E511" s="2"/>
      <c r="F511" s="3"/>
      <c r="G511" s="3"/>
    </row>
    <row r="512" spans="5:7" x14ac:dyDescent="0.2">
      <c r="E512" s="2"/>
      <c r="F512" s="3"/>
      <c r="G512" s="3"/>
    </row>
    <row r="513" spans="5:7" x14ac:dyDescent="0.2">
      <c r="E513" s="2"/>
      <c r="F513" s="3"/>
      <c r="G513" s="3"/>
    </row>
    <row r="514" spans="5:7" x14ac:dyDescent="0.2">
      <c r="E514" s="2"/>
      <c r="F514" s="3"/>
      <c r="G514" s="3"/>
    </row>
    <row r="515" spans="5:7" x14ac:dyDescent="0.2">
      <c r="E515" s="2"/>
      <c r="F515" s="3"/>
      <c r="G515" s="3"/>
    </row>
    <row r="516" spans="5:7" x14ac:dyDescent="0.2">
      <c r="E516" s="2"/>
      <c r="F516" s="3"/>
      <c r="G516" s="3"/>
    </row>
    <row r="517" spans="5:7" x14ac:dyDescent="0.2">
      <c r="E517" s="2"/>
      <c r="F517" s="3"/>
      <c r="G517" s="3"/>
    </row>
    <row r="518" spans="5:7" x14ac:dyDescent="0.2">
      <c r="E518" s="2"/>
      <c r="F518" s="3"/>
      <c r="G518" s="3"/>
    </row>
    <row r="519" spans="5:7" x14ac:dyDescent="0.2">
      <c r="E519" s="2"/>
      <c r="F519" s="3"/>
      <c r="G519" s="3"/>
    </row>
    <row r="520" spans="5:7" x14ac:dyDescent="0.2">
      <c r="E520" s="2"/>
      <c r="F520" s="3"/>
      <c r="G520" s="3"/>
    </row>
    <row r="521" spans="5:7" x14ac:dyDescent="0.2">
      <c r="E521" s="2"/>
      <c r="F521" s="3"/>
      <c r="G521" s="3"/>
    </row>
    <row r="522" spans="5:7" x14ac:dyDescent="0.2">
      <c r="E522" s="2"/>
      <c r="F522" s="3"/>
      <c r="G522" s="3"/>
    </row>
    <row r="523" spans="5:7" x14ac:dyDescent="0.2">
      <c r="E523" s="2"/>
      <c r="F523" s="3"/>
      <c r="G523" s="3"/>
    </row>
    <row r="524" spans="5:7" x14ac:dyDescent="0.2">
      <c r="E524" s="2"/>
      <c r="F524" s="3"/>
      <c r="G524" s="3"/>
    </row>
    <row r="525" spans="5:7" x14ac:dyDescent="0.2">
      <c r="E525" s="2"/>
      <c r="F525" s="3"/>
      <c r="G525" s="3"/>
    </row>
    <row r="526" spans="5:7" x14ac:dyDescent="0.2">
      <c r="E526" s="2"/>
      <c r="F526" s="3"/>
      <c r="G526" s="3"/>
    </row>
    <row r="527" spans="5:7" x14ac:dyDescent="0.2">
      <c r="E527" s="2"/>
      <c r="F527" s="3"/>
      <c r="G527" s="3"/>
    </row>
    <row r="528" spans="5:7" x14ac:dyDescent="0.2">
      <c r="E528" s="2"/>
      <c r="F528" s="3"/>
      <c r="G528" s="3"/>
    </row>
    <row r="529" spans="5:7" x14ac:dyDescent="0.2">
      <c r="E529" s="2"/>
      <c r="F529" s="3"/>
      <c r="G529" s="3"/>
    </row>
    <row r="530" spans="5:7" x14ac:dyDescent="0.2">
      <c r="E530" s="2"/>
      <c r="F530" s="3"/>
      <c r="G530" s="3"/>
    </row>
    <row r="531" spans="5:7" x14ac:dyDescent="0.2">
      <c r="E531" s="2"/>
      <c r="F531" s="3"/>
      <c r="G531" s="3"/>
    </row>
    <row r="532" spans="5:7" x14ac:dyDescent="0.2">
      <c r="E532" s="2"/>
      <c r="F532" s="3"/>
      <c r="G532" s="3"/>
    </row>
    <row r="533" spans="5:7" x14ac:dyDescent="0.2">
      <c r="E533" s="2"/>
      <c r="F533" s="3"/>
      <c r="G533" s="3"/>
    </row>
    <row r="534" spans="5:7" x14ac:dyDescent="0.2">
      <c r="E534" s="2"/>
      <c r="F534" s="3"/>
      <c r="G534" s="3"/>
    </row>
    <row r="535" spans="5:7" x14ac:dyDescent="0.2">
      <c r="E535" s="2"/>
      <c r="F535" s="3"/>
      <c r="G535" s="3"/>
    </row>
    <row r="536" spans="5:7" x14ac:dyDescent="0.2">
      <c r="E536" s="2"/>
      <c r="F536" s="3"/>
      <c r="G536" s="3"/>
    </row>
    <row r="537" spans="5:7" x14ac:dyDescent="0.2">
      <c r="E537" s="2"/>
      <c r="F537" s="3"/>
      <c r="G537" s="3"/>
    </row>
    <row r="538" spans="5:7" x14ac:dyDescent="0.2">
      <c r="E538" s="2"/>
      <c r="F538" s="3"/>
      <c r="G538" s="3"/>
    </row>
    <row r="539" spans="5:7" x14ac:dyDescent="0.2">
      <c r="E539" s="2"/>
      <c r="F539" s="3"/>
      <c r="G539" s="3"/>
    </row>
    <row r="540" spans="5:7" x14ac:dyDescent="0.2">
      <c r="E540" s="2"/>
      <c r="F540" s="3"/>
      <c r="G540" s="3"/>
    </row>
    <row r="541" spans="5:7" x14ac:dyDescent="0.2">
      <c r="E541" s="2"/>
      <c r="F541" s="3"/>
      <c r="G541" s="3"/>
    </row>
    <row r="542" spans="5:7" x14ac:dyDescent="0.2">
      <c r="E542" s="2"/>
      <c r="F542" s="3"/>
      <c r="G542" s="3"/>
    </row>
    <row r="543" spans="5:7" x14ac:dyDescent="0.2">
      <c r="E543" s="2"/>
      <c r="F543" s="3"/>
      <c r="G543" s="3"/>
    </row>
    <row r="544" spans="5:7" x14ac:dyDescent="0.2">
      <c r="E544" s="2"/>
      <c r="F544" s="3"/>
      <c r="G544" s="3"/>
    </row>
    <row r="545" spans="5:7" x14ac:dyDescent="0.2">
      <c r="E545" s="2"/>
      <c r="F545" s="3"/>
      <c r="G545" s="3"/>
    </row>
    <row r="546" spans="5:7" x14ac:dyDescent="0.2">
      <c r="E546" s="2"/>
      <c r="F546" s="3"/>
      <c r="G546" s="3"/>
    </row>
    <row r="547" spans="5:7" x14ac:dyDescent="0.2">
      <c r="E547" s="2"/>
      <c r="F547" s="3"/>
      <c r="G547" s="3"/>
    </row>
    <row r="548" spans="5:7" x14ac:dyDescent="0.2">
      <c r="E548" s="2"/>
      <c r="F548" s="3"/>
      <c r="G548" s="3"/>
    </row>
    <row r="549" spans="5:7" x14ac:dyDescent="0.2">
      <c r="E549" s="2"/>
      <c r="F549" s="3"/>
      <c r="G549" s="3"/>
    </row>
    <row r="550" spans="5:7" x14ac:dyDescent="0.2">
      <c r="E550" s="2"/>
      <c r="F550" s="3"/>
      <c r="G550" s="3"/>
    </row>
    <row r="551" spans="5:7" x14ac:dyDescent="0.2">
      <c r="E551" s="2"/>
      <c r="F551" s="3"/>
      <c r="G551" s="3"/>
    </row>
    <row r="552" spans="5:7" x14ac:dyDescent="0.2">
      <c r="E552" s="2"/>
      <c r="F552" s="3"/>
      <c r="G552" s="3"/>
    </row>
    <row r="553" spans="5:7" x14ac:dyDescent="0.2">
      <c r="E553" s="2"/>
      <c r="F553" s="3"/>
      <c r="G553" s="3"/>
    </row>
    <row r="554" spans="5:7" x14ac:dyDescent="0.2">
      <c r="E554" s="2"/>
      <c r="F554" s="3"/>
      <c r="G554" s="3"/>
    </row>
    <row r="555" spans="5:7" x14ac:dyDescent="0.2">
      <c r="E555" s="2"/>
      <c r="F555" s="3"/>
      <c r="G555" s="3"/>
    </row>
    <row r="556" spans="5:7" x14ac:dyDescent="0.2">
      <c r="E556" s="2"/>
      <c r="F556" s="3"/>
      <c r="G556" s="3"/>
    </row>
    <row r="557" spans="5:7" x14ac:dyDescent="0.2">
      <c r="E557" s="2"/>
      <c r="F557" s="3"/>
      <c r="G557" s="3"/>
    </row>
    <row r="558" spans="5:7" x14ac:dyDescent="0.2">
      <c r="E558" s="2"/>
      <c r="F558" s="3"/>
      <c r="G558" s="3"/>
    </row>
    <row r="559" spans="5:7" x14ac:dyDescent="0.2">
      <c r="E559" s="2"/>
      <c r="F559" s="3"/>
      <c r="G559" s="3"/>
    </row>
    <row r="560" spans="5:7" x14ac:dyDescent="0.2">
      <c r="E560" s="2"/>
      <c r="F560" s="3"/>
      <c r="G560" s="3"/>
    </row>
    <row r="561" spans="5:7" x14ac:dyDescent="0.2">
      <c r="E561" s="2"/>
      <c r="F561" s="3"/>
      <c r="G561" s="3"/>
    </row>
    <row r="562" spans="5:7" x14ac:dyDescent="0.2">
      <c r="E562" s="2"/>
      <c r="F562" s="3"/>
      <c r="G562" s="3"/>
    </row>
    <row r="563" spans="5:7" x14ac:dyDescent="0.2">
      <c r="E563" s="2"/>
      <c r="F563" s="3"/>
      <c r="G563" s="3"/>
    </row>
    <row r="564" spans="5:7" x14ac:dyDescent="0.2">
      <c r="E564" s="2"/>
      <c r="F564" s="3"/>
      <c r="G564" s="3"/>
    </row>
    <row r="565" spans="5:7" x14ac:dyDescent="0.2">
      <c r="E565" s="2"/>
      <c r="F565" s="3"/>
      <c r="G565" s="3"/>
    </row>
    <row r="566" spans="5:7" x14ac:dyDescent="0.2">
      <c r="E566" s="2"/>
      <c r="F566" s="3"/>
      <c r="G566" s="3"/>
    </row>
    <row r="567" spans="5:7" x14ac:dyDescent="0.2">
      <c r="E567" s="2"/>
      <c r="F567" s="3"/>
      <c r="G567" s="3"/>
    </row>
    <row r="568" spans="5:7" x14ac:dyDescent="0.2">
      <c r="E568" s="2"/>
      <c r="F568" s="3"/>
      <c r="G568" s="3"/>
    </row>
    <row r="569" spans="5:7" x14ac:dyDescent="0.2">
      <c r="E569" s="2"/>
      <c r="F569" s="3"/>
      <c r="G569" s="3"/>
    </row>
    <row r="570" spans="5:7" x14ac:dyDescent="0.2">
      <c r="E570" s="2"/>
      <c r="F570" s="3"/>
      <c r="G570" s="3"/>
    </row>
    <row r="571" spans="5:7" x14ac:dyDescent="0.2">
      <c r="E571" s="2"/>
      <c r="F571" s="3"/>
      <c r="G571" s="3"/>
    </row>
    <row r="572" spans="5:7" x14ac:dyDescent="0.2">
      <c r="E572" s="2"/>
      <c r="F572" s="3"/>
      <c r="G572" s="3"/>
    </row>
    <row r="573" spans="5:7" x14ac:dyDescent="0.2">
      <c r="E573" s="2"/>
      <c r="F573" s="3"/>
      <c r="G573" s="3"/>
    </row>
    <row r="574" spans="5:7" x14ac:dyDescent="0.2">
      <c r="E574" s="2"/>
      <c r="F574" s="3"/>
      <c r="G574" s="3"/>
    </row>
    <row r="575" spans="5:7" x14ac:dyDescent="0.2">
      <c r="E575" s="2"/>
      <c r="F575" s="3"/>
      <c r="G575" s="3"/>
    </row>
    <row r="576" spans="5:7" x14ac:dyDescent="0.2">
      <c r="E576" s="2"/>
      <c r="F576" s="3"/>
      <c r="G576" s="3"/>
    </row>
    <row r="577" spans="5:7" x14ac:dyDescent="0.2">
      <c r="E577" s="2"/>
      <c r="F577" s="3"/>
      <c r="G577" s="3"/>
    </row>
    <row r="578" spans="5:7" x14ac:dyDescent="0.2">
      <c r="E578" s="2"/>
      <c r="F578" s="3"/>
      <c r="G578" s="3"/>
    </row>
    <row r="579" spans="5:7" x14ac:dyDescent="0.2">
      <c r="E579" s="2"/>
      <c r="F579" s="3"/>
      <c r="G579" s="3"/>
    </row>
    <row r="580" spans="5:7" x14ac:dyDescent="0.2">
      <c r="E580" s="2"/>
      <c r="F580" s="3"/>
      <c r="G580" s="3"/>
    </row>
    <row r="581" spans="5:7" x14ac:dyDescent="0.2">
      <c r="E581" s="2"/>
      <c r="F581" s="3"/>
      <c r="G581" s="3"/>
    </row>
    <row r="582" spans="5:7" x14ac:dyDescent="0.2">
      <c r="E582" s="2"/>
      <c r="F582" s="3"/>
      <c r="G582" s="3"/>
    </row>
    <row r="583" spans="5:7" x14ac:dyDescent="0.2">
      <c r="E583" s="2"/>
      <c r="F583" s="3"/>
      <c r="G583" s="3"/>
    </row>
    <row r="584" spans="5:7" x14ac:dyDescent="0.2">
      <c r="E584" s="2"/>
      <c r="F584" s="3"/>
      <c r="G584" s="3"/>
    </row>
    <row r="585" spans="5:7" x14ac:dyDescent="0.2">
      <c r="E585" s="2"/>
      <c r="F585" s="3"/>
      <c r="G585" s="3"/>
    </row>
    <row r="586" spans="5:7" x14ac:dyDescent="0.2">
      <c r="E586" s="2"/>
      <c r="F586" s="3"/>
      <c r="G586" s="3"/>
    </row>
    <row r="587" spans="5:7" x14ac:dyDescent="0.2">
      <c r="E587" s="2"/>
      <c r="F587" s="3"/>
      <c r="G587" s="3"/>
    </row>
    <row r="588" spans="5:7" x14ac:dyDescent="0.2">
      <c r="E588" s="2"/>
      <c r="F588" s="3"/>
      <c r="G588" s="3"/>
    </row>
    <row r="589" spans="5:7" x14ac:dyDescent="0.2">
      <c r="E589" s="2"/>
      <c r="F589" s="3"/>
      <c r="G589" s="3"/>
    </row>
    <row r="590" spans="5:7" x14ac:dyDescent="0.2">
      <c r="E590" s="2"/>
      <c r="F590" s="3"/>
      <c r="G590" s="3"/>
    </row>
    <row r="591" spans="5:7" x14ac:dyDescent="0.2">
      <c r="E591" s="2"/>
      <c r="F591" s="3"/>
      <c r="G591" s="3"/>
    </row>
    <row r="592" spans="5:7" x14ac:dyDescent="0.2">
      <c r="E592" s="2"/>
      <c r="F592" s="3"/>
      <c r="G592" s="3"/>
    </row>
    <row r="593" spans="5:7" x14ac:dyDescent="0.2">
      <c r="E593" s="2"/>
      <c r="F593" s="3"/>
      <c r="G593" s="3"/>
    </row>
    <row r="594" spans="5:7" x14ac:dyDescent="0.2">
      <c r="E594" s="2"/>
      <c r="F594" s="3"/>
      <c r="G594" s="3"/>
    </row>
    <row r="595" spans="5:7" x14ac:dyDescent="0.2">
      <c r="E595" s="2"/>
      <c r="F595" s="3"/>
      <c r="G595" s="3"/>
    </row>
    <row r="596" spans="5:7" x14ac:dyDescent="0.2">
      <c r="E596" s="2"/>
      <c r="F596" s="3"/>
      <c r="G596" s="3"/>
    </row>
    <row r="597" spans="5:7" x14ac:dyDescent="0.2">
      <c r="E597" s="2"/>
      <c r="F597" s="3"/>
      <c r="G597" s="3"/>
    </row>
    <row r="598" spans="5:7" x14ac:dyDescent="0.2">
      <c r="E598" s="2"/>
      <c r="F598" s="3"/>
      <c r="G598" s="3"/>
    </row>
    <row r="599" spans="5:7" x14ac:dyDescent="0.2">
      <c r="E599" s="2"/>
      <c r="F599" s="3"/>
      <c r="G599" s="3"/>
    </row>
    <row r="600" spans="5:7" x14ac:dyDescent="0.2">
      <c r="E600" s="2"/>
      <c r="F600" s="3"/>
      <c r="G600" s="3"/>
    </row>
    <row r="601" spans="5:7" x14ac:dyDescent="0.2">
      <c r="E601" s="2"/>
      <c r="F601" s="3"/>
      <c r="G601" s="3"/>
    </row>
    <row r="602" spans="5:7" x14ac:dyDescent="0.2">
      <c r="E602" s="2"/>
      <c r="F602" s="3"/>
      <c r="G602" s="3"/>
    </row>
    <row r="603" spans="5:7" x14ac:dyDescent="0.2">
      <c r="E603" s="2"/>
      <c r="F603" s="3"/>
      <c r="G603" s="3"/>
    </row>
    <row r="604" spans="5:7" x14ac:dyDescent="0.2">
      <c r="E604" s="2"/>
      <c r="F604" s="3"/>
      <c r="G604" s="3"/>
    </row>
    <row r="605" spans="5:7" x14ac:dyDescent="0.2">
      <c r="E605" s="2"/>
      <c r="F605" s="3"/>
      <c r="G605" s="3"/>
    </row>
    <row r="606" spans="5:7" x14ac:dyDescent="0.2">
      <c r="E606" s="2"/>
      <c r="F606" s="3"/>
      <c r="G606" s="3"/>
    </row>
    <row r="607" spans="5:7" x14ac:dyDescent="0.2">
      <c r="E607" s="2"/>
      <c r="F607" s="3"/>
      <c r="G607" s="3"/>
    </row>
    <row r="608" spans="5:7" x14ac:dyDescent="0.2">
      <c r="E608" s="2"/>
      <c r="F608" s="3"/>
      <c r="G608" s="3"/>
    </row>
    <row r="609" spans="5:7" x14ac:dyDescent="0.2">
      <c r="E609" s="2"/>
      <c r="F609" s="3"/>
      <c r="G609" s="3"/>
    </row>
    <row r="610" spans="5:7" x14ac:dyDescent="0.2">
      <c r="E610" s="2"/>
      <c r="F610" s="3"/>
      <c r="G610" s="3"/>
    </row>
    <row r="611" spans="5:7" x14ac:dyDescent="0.2">
      <c r="E611" s="2"/>
      <c r="F611" s="3"/>
      <c r="G611" s="3"/>
    </row>
    <row r="612" spans="5:7" x14ac:dyDescent="0.2">
      <c r="E612" s="2"/>
      <c r="F612" s="3"/>
      <c r="G612" s="3"/>
    </row>
    <row r="613" spans="5:7" x14ac:dyDescent="0.2">
      <c r="E613" s="2"/>
      <c r="F613" s="3"/>
      <c r="G613" s="3"/>
    </row>
    <row r="614" spans="5:7" x14ac:dyDescent="0.2">
      <c r="E614" s="2"/>
      <c r="F614" s="3"/>
      <c r="G614" s="3"/>
    </row>
    <row r="615" spans="5:7" x14ac:dyDescent="0.2">
      <c r="E615" s="2"/>
      <c r="F615" s="3"/>
      <c r="G615" s="3"/>
    </row>
    <row r="616" spans="5:7" x14ac:dyDescent="0.2">
      <c r="E616" s="2"/>
      <c r="F616" s="3"/>
      <c r="G616" s="3"/>
    </row>
    <row r="617" spans="5:7" x14ac:dyDescent="0.2">
      <c r="E617" s="2"/>
      <c r="F617" s="3"/>
      <c r="G617" s="3"/>
    </row>
    <row r="618" spans="5:7" x14ac:dyDescent="0.2">
      <c r="E618" s="2"/>
      <c r="F618" s="3"/>
      <c r="G618" s="3"/>
    </row>
    <row r="619" spans="5:7" x14ac:dyDescent="0.2">
      <c r="E619" s="2"/>
      <c r="F619" s="3"/>
      <c r="G619" s="3"/>
    </row>
    <row r="620" spans="5:7" x14ac:dyDescent="0.2">
      <c r="E620" s="2"/>
      <c r="F620" s="3"/>
      <c r="G620" s="3"/>
    </row>
    <row r="621" spans="5:7" x14ac:dyDescent="0.2">
      <c r="E621" s="2"/>
      <c r="F621" s="3"/>
      <c r="G621" s="3"/>
    </row>
    <row r="622" spans="5:7" x14ac:dyDescent="0.2">
      <c r="E622" s="2"/>
      <c r="F622" s="3"/>
      <c r="G622" s="3"/>
    </row>
    <row r="623" spans="5:7" x14ac:dyDescent="0.2">
      <c r="E623" s="2"/>
      <c r="F623" s="3"/>
      <c r="G623" s="3"/>
    </row>
    <row r="624" spans="5:7" x14ac:dyDescent="0.2">
      <c r="E624" s="2"/>
      <c r="F624" s="3"/>
      <c r="G624" s="3"/>
    </row>
    <row r="625" spans="5:7" x14ac:dyDescent="0.2">
      <c r="E625" s="2"/>
      <c r="F625" s="3"/>
      <c r="G625" s="3"/>
    </row>
    <row r="626" spans="5:7" x14ac:dyDescent="0.2">
      <c r="E626" s="2"/>
      <c r="F626" s="3"/>
      <c r="G626" s="3"/>
    </row>
    <row r="627" spans="5:7" x14ac:dyDescent="0.2">
      <c r="E627" s="2"/>
      <c r="F627" s="3"/>
      <c r="G627" s="3"/>
    </row>
    <row r="628" spans="5:7" x14ac:dyDescent="0.2">
      <c r="E628" s="2"/>
      <c r="F628" s="3"/>
      <c r="G628" s="3"/>
    </row>
    <row r="629" spans="5:7" x14ac:dyDescent="0.2">
      <c r="E629" s="2"/>
      <c r="F629" s="3"/>
      <c r="G629" s="3"/>
    </row>
    <row r="630" spans="5:7" x14ac:dyDescent="0.2">
      <c r="E630" s="2"/>
      <c r="F630" s="3"/>
      <c r="G630" s="3"/>
    </row>
    <row r="631" spans="5:7" x14ac:dyDescent="0.2">
      <c r="E631" s="2"/>
      <c r="F631" s="3"/>
      <c r="G631" s="3"/>
    </row>
    <row r="632" spans="5:7" x14ac:dyDescent="0.2">
      <c r="E632" s="2"/>
      <c r="F632" s="3"/>
      <c r="G632" s="3"/>
    </row>
    <row r="633" spans="5:7" x14ac:dyDescent="0.2">
      <c r="E633" s="2"/>
      <c r="F633" s="3"/>
      <c r="G633" s="3"/>
    </row>
    <row r="634" spans="5:7" x14ac:dyDescent="0.2">
      <c r="E634" s="2"/>
      <c r="F634" s="3"/>
      <c r="G634" s="3"/>
    </row>
    <row r="635" spans="5:7" x14ac:dyDescent="0.2">
      <c r="E635" s="2"/>
      <c r="F635" s="3"/>
      <c r="G635" s="3"/>
    </row>
    <row r="636" spans="5:7" x14ac:dyDescent="0.2">
      <c r="E636" s="2"/>
      <c r="F636" s="3"/>
      <c r="G636" s="3"/>
    </row>
    <row r="637" spans="5:7" x14ac:dyDescent="0.2">
      <c r="E637" s="2"/>
      <c r="F637" s="3"/>
      <c r="G637" s="3"/>
    </row>
    <row r="638" spans="5:7" x14ac:dyDescent="0.2">
      <c r="E638" s="2"/>
      <c r="F638" s="3"/>
      <c r="G638" s="3"/>
    </row>
    <row r="639" spans="5:7" x14ac:dyDescent="0.2">
      <c r="E639" s="2"/>
      <c r="F639" s="3"/>
      <c r="G639" s="3"/>
    </row>
    <row r="640" spans="5:7" x14ac:dyDescent="0.2">
      <c r="E640" s="2"/>
      <c r="F640" s="3"/>
      <c r="G640" s="3"/>
    </row>
    <row r="641" spans="5:7" x14ac:dyDescent="0.2">
      <c r="E641" s="2"/>
      <c r="F641" s="3"/>
      <c r="G641" s="3"/>
    </row>
    <row r="642" spans="5:7" x14ac:dyDescent="0.2">
      <c r="E642" s="2"/>
      <c r="F642" s="3"/>
      <c r="G642" s="3"/>
    </row>
    <row r="643" spans="5:7" x14ac:dyDescent="0.2">
      <c r="E643" s="2"/>
      <c r="F643" s="3"/>
      <c r="G643" s="3"/>
    </row>
    <row r="644" spans="5:7" x14ac:dyDescent="0.2">
      <c r="E644" s="2"/>
      <c r="F644" s="3"/>
      <c r="G644" s="3"/>
    </row>
    <row r="645" spans="5:7" x14ac:dyDescent="0.2">
      <c r="E645" s="2"/>
      <c r="F645" s="3"/>
      <c r="G645" s="3"/>
    </row>
    <row r="646" spans="5:7" x14ac:dyDescent="0.2">
      <c r="E646" s="2"/>
      <c r="F646" s="3"/>
      <c r="G646" s="3"/>
    </row>
    <row r="647" spans="5:7" x14ac:dyDescent="0.2">
      <c r="E647" s="2"/>
      <c r="F647" s="3"/>
      <c r="G647" s="3"/>
    </row>
    <row r="648" spans="5:7" x14ac:dyDescent="0.2">
      <c r="E648" s="2"/>
      <c r="F648" s="3"/>
      <c r="G648" s="3"/>
    </row>
    <row r="649" spans="5:7" x14ac:dyDescent="0.2">
      <c r="E649" s="2"/>
      <c r="F649" s="3"/>
      <c r="G649" s="3"/>
    </row>
    <row r="650" spans="5:7" x14ac:dyDescent="0.2">
      <c r="E650" s="2"/>
      <c r="F650" s="3"/>
      <c r="G650" s="3"/>
    </row>
    <row r="651" spans="5:7" x14ac:dyDescent="0.2">
      <c r="E651" s="2"/>
      <c r="F651" s="3"/>
      <c r="G651" s="3"/>
    </row>
    <row r="652" spans="5:7" x14ac:dyDescent="0.2">
      <c r="E652" s="2"/>
      <c r="F652" s="3"/>
      <c r="G652" s="3"/>
    </row>
    <row r="653" spans="5:7" x14ac:dyDescent="0.2">
      <c r="E653" s="2"/>
      <c r="F653" s="3"/>
      <c r="G653" s="3"/>
    </row>
    <row r="654" spans="5:7" x14ac:dyDescent="0.2">
      <c r="E654" s="2"/>
      <c r="F654" s="3"/>
      <c r="G654" s="3"/>
    </row>
    <row r="655" spans="5:7" x14ac:dyDescent="0.2">
      <c r="E655" s="2"/>
      <c r="F655" s="3"/>
      <c r="G655" s="3"/>
    </row>
    <row r="656" spans="5:7" x14ac:dyDescent="0.2">
      <c r="E656" s="2"/>
      <c r="F656" s="3"/>
      <c r="G656" s="3"/>
    </row>
    <row r="657" spans="5:7" x14ac:dyDescent="0.2">
      <c r="E657" s="2"/>
      <c r="F657" s="3"/>
      <c r="G657" s="3"/>
    </row>
    <row r="658" spans="5:7" x14ac:dyDescent="0.2">
      <c r="E658" s="2"/>
      <c r="F658" s="3"/>
      <c r="G658" s="3"/>
    </row>
    <row r="659" spans="5:7" x14ac:dyDescent="0.2">
      <c r="E659" s="2"/>
      <c r="F659" s="3"/>
      <c r="G659" s="3"/>
    </row>
    <row r="660" spans="5:7" x14ac:dyDescent="0.2">
      <c r="E660" s="2"/>
      <c r="F660" s="3"/>
      <c r="G660" s="3"/>
    </row>
    <row r="661" spans="5:7" x14ac:dyDescent="0.2">
      <c r="E661" s="2"/>
      <c r="F661" s="3"/>
      <c r="G661" s="3"/>
    </row>
    <row r="662" spans="5:7" x14ac:dyDescent="0.2">
      <c r="E662" s="2"/>
      <c r="F662" s="3"/>
      <c r="G662" s="3"/>
    </row>
    <row r="663" spans="5:7" x14ac:dyDescent="0.2">
      <c r="E663" s="2"/>
      <c r="F663" s="3"/>
      <c r="G663" s="3"/>
    </row>
    <row r="664" spans="5:7" x14ac:dyDescent="0.2">
      <c r="E664" s="2"/>
      <c r="F664" s="3"/>
      <c r="G664" s="3"/>
    </row>
    <row r="665" spans="5:7" x14ac:dyDescent="0.2">
      <c r="E665" s="2"/>
      <c r="F665" s="3"/>
      <c r="G665" s="3"/>
    </row>
    <row r="666" spans="5:7" x14ac:dyDescent="0.2">
      <c r="E666" s="2"/>
      <c r="F666" s="3"/>
      <c r="G666" s="3"/>
    </row>
    <row r="667" spans="5:7" x14ac:dyDescent="0.2">
      <c r="E667" s="2"/>
      <c r="F667" s="3"/>
      <c r="G667" s="3"/>
    </row>
    <row r="668" spans="5:7" x14ac:dyDescent="0.2">
      <c r="E668" s="2"/>
      <c r="F668" s="3"/>
      <c r="G668" s="3"/>
    </row>
    <row r="669" spans="5:7" x14ac:dyDescent="0.2">
      <c r="E669" s="2"/>
      <c r="F669" s="3"/>
      <c r="G669" s="3"/>
    </row>
    <row r="670" spans="5:7" x14ac:dyDescent="0.2">
      <c r="E670" s="2"/>
      <c r="F670" s="3"/>
      <c r="G670" s="3"/>
    </row>
    <row r="671" spans="5:7" x14ac:dyDescent="0.2">
      <c r="E671" s="2"/>
      <c r="F671" s="3"/>
      <c r="G671" s="3"/>
    </row>
    <row r="672" spans="5:7" x14ac:dyDescent="0.2">
      <c r="E672" s="2"/>
      <c r="F672" s="3"/>
      <c r="G672" s="3"/>
    </row>
    <row r="673" spans="5:7" x14ac:dyDescent="0.2">
      <c r="E673" s="2"/>
      <c r="F673" s="3"/>
      <c r="G673" s="3"/>
    </row>
    <row r="674" spans="5:7" x14ac:dyDescent="0.2">
      <c r="E674" s="2"/>
      <c r="F674" s="3"/>
      <c r="G674" s="3"/>
    </row>
    <row r="675" spans="5:7" x14ac:dyDescent="0.2">
      <c r="E675" s="2"/>
      <c r="F675" s="3"/>
      <c r="G675" s="3"/>
    </row>
    <row r="676" spans="5:7" x14ac:dyDescent="0.2">
      <c r="E676" s="2"/>
      <c r="F676" s="3"/>
      <c r="G676" s="3"/>
    </row>
    <row r="677" spans="5:7" x14ac:dyDescent="0.2">
      <c r="E677" s="2"/>
      <c r="F677" s="3"/>
      <c r="G677" s="3"/>
    </row>
    <row r="678" spans="5:7" x14ac:dyDescent="0.2">
      <c r="E678" s="2"/>
      <c r="F678" s="3"/>
      <c r="G678" s="3"/>
    </row>
    <row r="679" spans="5:7" x14ac:dyDescent="0.2">
      <c r="E679" s="2"/>
      <c r="F679" s="3"/>
      <c r="G679" s="3"/>
    </row>
    <row r="680" spans="5:7" x14ac:dyDescent="0.2">
      <c r="E680" s="2"/>
      <c r="F680" s="3"/>
      <c r="G680" s="3"/>
    </row>
    <row r="681" spans="5:7" x14ac:dyDescent="0.2">
      <c r="E681" s="2"/>
      <c r="F681" s="3"/>
      <c r="G681" s="3"/>
    </row>
    <row r="682" spans="5:7" x14ac:dyDescent="0.2">
      <c r="E682" s="2"/>
      <c r="F682" s="3"/>
      <c r="G682" s="3"/>
    </row>
    <row r="683" spans="5:7" x14ac:dyDescent="0.2">
      <c r="E683" s="2"/>
      <c r="F683" s="3"/>
      <c r="G683" s="3"/>
    </row>
    <row r="684" spans="5:7" x14ac:dyDescent="0.2">
      <c r="E684" s="2"/>
      <c r="F684" s="3"/>
      <c r="G684" s="3"/>
    </row>
    <row r="685" spans="5:7" x14ac:dyDescent="0.2">
      <c r="E685" s="2"/>
      <c r="F685" s="3"/>
      <c r="G685" s="3"/>
    </row>
    <row r="686" spans="5:7" x14ac:dyDescent="0.2">
      <c r="E686" s="2"/>
      <c r="F686" s="3"/>
      <c r="G686" s="3"/>
    </row>
    <row r="687" spans="5:7" x14ac:dyDescent="0.2">
      <c r="E687" s="2"/>
      <c r="F687" s="3"/>
      <c r="G687" s="3"/>
    </row>
    <row r="688" spans="5:7" x14ac:dyDescent="0.2">
      <c r="E688" s="2"/>
      <c r="F688" s="3"/>
      <c r="G688" s="3"/>
    </row>
    <row r="689" spans="5:7" x14ac:dyDescent="0.2">
      <c r="E689" s="2"/>
      <c r="F689" s="3"/>
      <c r="G689" s="3"/>
    </row>
    <row r="690" spans="5:7" x14ac:dyDescent="0.2">
      <c r="E690" s="2"/>
      <c r="F690" s="3"/>
      <c r="G690" s="3"/>
    </row>
    <row r="691" spans="5:7" x14ac:dyDescent="0.2">
      <c r="E691" s="2"/>
      <c r="F691" s="3"/>
      <c r="G691" s="3"/>
    </row>
    <row r="692" spans="5:7" x14ac:dyDescent="0.2">
      <c r="E692" s="2"/>
      <c r="F692" s="3"/>
      <c r="G692" s="3"/>
    </row>
    <row r="693" spans="5:7" x14ac:dyDescent="0.2">
      <c r="E693" s="2"/>
      <c r="F693" s="3"/>
      <c r="G693" s="3"/>
    </row>
    <row r="694" spans="5:7" x14ac:dyDescent="0.2">
      <c r="E694" s="2"/>
      <c r="F694" s="3"/>
      <c r="G694" s="3"/>
    </row>
    <row r="695" spans="5:7" x14ac:dyDescent="0.2">
      <c r="E695" s="2"/>
      <c r="F695" s="3"/>
      <c r="G695" s="3"/>
    </row>
    <row r="696" spans="5:7" x14ac:dyDescent="0.2">
      <c r="E696" s="2"/>
      <c r="F696" s="3"/>
      <c r="G696" s="3"/>
    </row>
    <row r="697" spans="5:7" x14ac:dyDescent="0.2">
      <c r="E697" s="2"/>
      <c r="F697" s="3"/>
      <c r="G697" s="3"/>
    </row>
    <row r="698" spans="5:7" x14ac:dyDescent="0.2">
      <c r="E698" s="2"/>
      <c r="F698" s="3"/>
      <c r="G698" s="3"/>
    </row>
    <row r="699" spans="5:7" x14ac:dyDescent="0.2">
      <c r="E699" s="2"/>
      <c r="F699" s="3"/>
      <c r="G699" s="3"/>
    </row>
    <row r="700" spans="5:7" x14ac:dyDescent="0.2">
      <c r="E700" s="2"/>
      <c r="F700" s="3"/>
      <c r="G700" s="3"/>
    </row>
    <row r="701" spans="5:7" x14ac:dyDescent="0.2">
      <c r="E701" s="2"/>
      <c r="F701" s="3"/>
      <c r="G701" s="3"/>
    </row>
    <row r="702" spans="5:7" x14ac:dyDescent="0.2">
      <c r="E702" s="2"/>
      <c r="F702" s="3"/>
      <c r="G702" s="3"/>
    </row>
    <row r="703" spans="5:7" x14ac:dyDescent="0.2">
      <c r="E703" s="2"/>
      <c r="F703" s="3"/>
      <c r="G703" s="3"/>
    </row>
    <row r="704" spans="5:7" x14ac:dyDescent="0.2">
      <c r="E704" s="2"/>
      <c r="F704" s="3"/>
      <c r="G704" s="3"/>
    </row>
    <row r="705" spans="5:7" x14ac:dyDescent="0.2">
      <c r="E705" s="2"/>
      <c r="F705" s="3"/>
      <c r="G705" s="3"/>
    </row>
    <row r="706" spans="5:7" x14ac:dyDescent="0.2">
      <c r="E706" s="2"/>
      <c r="F706" s="3"/>
      <c r="G706" s="3"/>
    </row>
    <row r="707" spans="5:7" x14ac:dyDescent="0.2">
      <c r="E707" s="2"/>
      <c r="F707" s="3"/>
      <c r="G707" s="3"/>
    </row>
    <row r="708" spans="5:7" x14ac:dyDescent="0.2">
      <c r="E708" s="2"/>
      <c r="F708" s="3"/>
      <c r="G708" s="3"/>
    </row>
    <row r="709" spans="5:7" x14ac:dyDescent="0.2">
      <c r="E709" s="2"/>
      <c r="F709" s="3"/>
      <c r="G709" s="3"/>
    </row>
    <row r="710" spans="5:7" x14ac:dyDescent="0.2">
      <c r="E710" s="2"/>
      <c r="F710" s="3"/>
      <c r="G710" s="3"/>
    </row>
    <row r="711" spans="5:7" x14ac:dyDescent="0.2">
      <c r="E711" s="2"/>
      <c r="F711" s="3"/>
      <c r="G711" s="3"/>
    </row>
    <row r="712" spans="5:7" x14ac:dyDescent="0.2">
      <c r="E712" s="2"/>
      <c r="F712" s="3"/>
      <c r="G712" s="3"/>
    </row>
    <row r="713" spans="5:7" x14ac:dyDescent="0.2">
      <c r="E713" s="2"/>
      <c r="F713" s="3"/>
      <c r="G713" s="3"/>
    </row>
    <row r="714" spans="5:7" x14ac:dyDescent="0.2">
      <c r="E714" s="2"/>
      <c r="F714" s="3"/>
      <c r="G714" s="3"/>
    </row>
    <row r="715" spans="5:7" x14ac:dyDescent="0.2">
      <c r="E715" s="2"/>
      <c r="F715" s="3"/>
      <c r="G715" s="3"/>
    </row>
    <row r="716" spans="5:7" x14ac:dyDescent="0.2">
      <c r="E716" s="2"/>
      <c r="F716" s="3"/>
      <c r="G716" s="3"/>
    </row>
    <row r="717" spans="5:7" x14ac:dyDescent="0.2">
      <c r="E717" s="2"/>
      <c r="F717" s="3"/>
      <c r="G717" s="3"/>
    </row>
    <row r="718" spans="5:7" x14ac:dyDescent="0.2">
      <c r="E718" s="2"/>
      <c r="F718" s="3"/>
      <c r="G718" s="3"/>
    </row>
    <row r="719" spans="5:7" x14ac:dyDescent="0.2">
      <c r="E719" s="2"/>
      <c r="F719" s="3"/>
      <c r="G719" s="3"/>
    </row>
    <row r="720" spans="5:7" x14ac:dyDescent="0.2">
      <c r="E720" s="2"/>
      <c r="F720" s="3"/>
      <c r="G720" s="3"/>
    </row>
    <row r="721" spans="5:7" x14ac:dyDescent="0.2">
      <c r="E721" s="2"/>
      <c r="F721" s="3"/>
      <c r="G721" s="3"/>
    </row>
    <row r="722" spans="5:7" x14ac:dyDescent="0.2">
      <c r="E722" s="2"/>
      <c r="F722" s="3"/>
      <c r="G722" s="3"/>
    </row>
    <row r="723" spans="5:7" x14ac:dyDescent="0.2">
      <c r="E723" s="2"/>
      <c r="F723" s="3"/>
      <c r="G723" s="3"/>
    </row>
    <row r="724" spans="5:7" x14ac:dyDescent="0.2">
      <c r="E724" s="2"/>
      <c r="F724" s="3"/>
      <c r="G724" s="3"/>
    </row>
    <row r="725" spans="5:7" x14ac:dyDescent="0.2">
      <c r="E725" s="2"/>
      <c r="F725" s="3"/>
      <c r="G725" s="3"/>
    </row>
    <row r="726" spans="5:7" x14ac:dyDescent="0.2">
      <c r="E726" s="2"/>
      <c r="F726" s="3"/>
      <c r="G726" s="3"/>
    </row>
    <row r="727" spans="5:7" x14ac:dyDescent="0.2">
      <c r="E727" s="2"/>
      <c r="F727" s="3"/>
      <c r="G727" s="3"/>
    </row>
    <row r="728" spans="5:7" x14ac:dyDescent="0.2">
      <c r="E728" s="2"/>
      <c r="F728" s="3"/>
      <c r="G728" s="3"/>
    </row>
    <row r="729" spans="5:7" x14ac:dyDescent="0.2">
      <c r="E729" s="2"/>
      <c r="F729" s="3"/>
      <c r="G729" s="3"/>
    </row>
    <row r="730" spans="5:7" x14ac:dyDescent="0.2">
      <c r="E730" s="2"/>
      <c r="F730" s="3"/>
      <c r="G730" s="3"/>
    </row>
    <row r="731" spans="5:7" x14ac:dyDescent="0.2">
      <c r="E731" s="2"/>
      <c r="F731" s="3"/>
      <c r="G731" s="3"/>
    </row>
    <row r="732" spans="5:7" x14ac:dyDescent="0.2">
      <c r="E732" s="2"/>
      <c r="F732" s="3"/>
      <c r="G732" s="3"/>
    </row>
    <row r="733" spans="5:7" x14ac:dyDescent="0.2">
      <c r="E733" s="2"/>
      <c r="F733" s="3"/>
      <c r="G733" s="3"/>
    </row>
    <row r="734" spans="5:7" x14ac:dyDescent="0.2">
      <c r="E734" s="2"/>
      <c r="F734" s="3"/>
      <c r="G734" s="3"/>
    </row>
    <row r="735" spans="5:7" x14ac:dyDescent="0.2">
      <c r="E735" s="2"/>
      <c r="F735" s="3"/>
      <c r="G735" s="3"/>
    </row>
    <row r="736" spans="5:7" x14ac:dyDescent="0.2">
      <c r="E736" s="2"/>
      <c r="F736" s="3"/>
      <c r="G736" s="3"/>
    </row>
    <row r="737" spans="5:7" x14ac:dyDescent="0.2">
      <c r="E737" s="2"/>
      <c r="F737" s="3"/>
      <c r="G737" s="3"/>
    </row>
    <row r="738" spans="5:7" x14ac:dyDescent="0.2">
      <c r="E738" s="2"/>
      <c r="F738" s="3"/>
      <c r="G738" s="3"/>
    </row>
    <row r="739" spans="5:7" x14ac:dyDescent="0.2">
      <c r="E739" s="2"/>
      <c r="F739" s="3"/>
      <c r="G739" s="3"/>
    </row>
    <row r="740" spans="5:7" x14ac:dyDescent="0.2">
      <c r="E740" s="2"/>
      <c r="F740" s="3"/>
      <c r="G740" s="3"/>
    </row>
    <row r="741" spans="5:7" x14ac:dyDescent="0.2">
      <c r="E741" s="2"/>
      <c r="F741" s="3"/>
      <c r="G741" s="3"/>
    </row>
    <row r="742" spans="5:7" x14ac:dyDescent="0.2">
      <c r="E742" s="2"/>
      <c r="F742" s="3"/>
      <c r="G742" s="3"/>
    </row>
    <row r="743" spans="5:7" x14ac:dyDescent="0.2">
      <c r="E743" s="2"/>
      <c r="F743" s="3"/>
      <c r="G743" s="3"/>
    </row>
    <row r="744" spans="5:7" x14ac:dyDescent="0.2">
      <c r="E744" s="2"/>
      <c r="F744" s="3"/>
      <c r="G744" s="3"/>
    </row>
    <row r="745" spans="5:7" x14ac:dyDescent="0.2">
      <c r="E745" s="2"/>
      <c r="F745" s="3"/>
      <c r="G745" s="3"/>
    </row>
    <row r="746" spans="5:7" x14ac:dyDescent="0.2">
      <c r="E746" s="2"/>
      <c r="F746" s="3"/>
      <c r="G746" s="3"/>
    </row>
    <row r="747" spans="5:7" x14ac:dyDescent="0.2">
      <c r="E747" s="2"/>
      <c r="F747" s="3"/>
      <c r="G747" s="3"/>
    </row>
    <row r="748" spans="5:7" x14ac:dyDescent="0.2">
      <c r="E748" s="2"/>
      <c r="F748" s="3"/>
      <c r="G748" s="3"/>
    </row>
    <row r="749" spans="5:7" x14ac:dyDescent="0.2">
      <c r="E749" s="2"/>
      <c r="F749" s="3"/>
      <c r="G749" s="3"/>
    </row>
    <row r="750" spans="5:7" x14ac:dyDescent="0.2">
      <c r="E750" s="2"/>
      <c r="F750" s="3"/>
      <c r="G750" s="3"/>
    </row>
    <row r="751" spans="5:7" x14ac:dyDescent="0.2">
      <c r="E751" s="2"/>
      <c r="F751" s="3"/>
      <c r="G751" s="3"/>
    </row>
    <row r="752" spans="5:7" x14ac:dyDescent="0.2">
      <c r="E752" s="2"/>
      <c r="F752" s="3"/>
      <c r="G752" s="3"/>
    </row>
    <row r="753" spans="5:7" x14ac:dyDescent="0.2">
      <c r="E753" s="2"/>
      <c r="F753" s="3"/>
      <c r="G753" s="3"/>
    </row>
    <row r="754" spans="5:7" x14ac:dyDescent="0.2">
      <c r="E754" s="2"/>
      <c r="F754" s="3"/>
      <c r="G754" s="3"/>
    </row>
    <row r="755" spans="5:7" x14ac:dyDescent="0.2">
      <c r="E755" s="2"/>
      <c r="F755" s="3"/>
      <c r="G755" s="3"/>
    </row>
    <row r="756" spans="5:7" x14ac:dyDescent="0.2">
      <c r="E756" s="2"/>
      <c r="F756" s="3"/>
      <c r="G756" s="3"/>
    </row>
    <row r="757" spans="5:7" x14ac:dyDescent="0.2">
      <c r="E757" s="2"/>
      <c r="F757" s="3"/>
      <c r="G757" s="3"/>
    </row>
    <row r="758" spans="5:7" x14ac:dyDescent="0.2">
      <c r="E758" s="2"/>
      <c r="F758" s="3"/>
      <c r="G758" s="3"/>
    </row>
    <row r="759" spans="5:7" x14ac:dyDescent="0.2">
      <c r="E759" s="2"/>
      <c r="F759" s="3"/>
      <c r="G759" s="3"/>
    </row>
    <row r="760" spans="5:7" x14ac:dyDescent="0.2">
      <c r="E760" s="2"/>
      <c r="F760" s="3"/>
      <c r="G760" s="3"/>
    </row>
    <row r="761" spans="5:7" x14ac:dyDescent="0.2">
      <c r="E761" s="2"/>
      <c r="F761" s="3"/>
      <c r="G761" s="3"/>
    </row>
    <row r="762" spans="5:7" x14ac:dyDescent="0.2">
      <c r="E762" s="2"/>
      <c r="F762" s="3"/>
      <c r="G762" s="3"/>
    </row>
    <row r="763" spans="5:7" x14ac:dyDescent="0.2">
      <c r="E763" s="2"/>
      <c r="F763" s="3"/>
      <c r="G763" s="3"/>
    </row>
    <row r="764" spans="5:7" x14ac:dyDescent="0.2">
      <c r="E764" s="2"/>
      <c r="F764" s="3"/>
      <c r="G764" s="3"/>
    </row>
    <row r="765" spans="5:7" x14ac:dyDescent="0.2">
      <c r="E765" s="2"/>
      <c r="F765" s="3"/>
      <c r="G765" s="3"/>
    </row>
    <row r="766" spans="5:7" x14ac:dyDescent="0.2">
      <c r="E766" s="2"/>
      <c r="F766" s="3"/>
      <c r="G766" s="3"/>
    </row>
    <row r="767" spans="5:7" x14ac:dyDescent="0.2">
      <c r="E767" s="2"/>
      <c r="F767" s="3"/>
      <c r="G767" s="3"/>
    </row>
    <row r="768" spans="5:7" x14ac:dyDescent="0.2">
      <c r="E768" s="2"/>
      <c r="F768" s="3"/>
      <c r="G768" s="3"/>
    </row>
    <row r="769" spans="5:7" x14ac:dyDescent="0.2">
      <c r="E769" s="2"/>
      <c r="F769" s="3"/>
      <c r="G769" s="3"/>
    </row>
    <row r="770" spans="5:7" x14ac:dyDescent="0.2">
      <c r="E770" s="2"/>
      <c r="F770" s="3"/>
      <c r="G770" s="3"/>
    </row>
    <row r="771" spans="5:7" x14ac:dyDescent="0.2">
      <c r="E771" s="2"/>
      <c r="F771" s="3"/>
      <c r="G771" s="3"/>
    </row>
    <row r="772" spans="5:7" x14ac:dyDescent="0.2">
      <c r="E772" s="2"/>
      <c r="F772" s="3"/>
      <c r="G772" s="3"/>
    </row>
    <row r="773" spans="5:7" x14ac:dyDescent="0.2">
      <c r="E773" s="2"/>
      <c r="F773" s="3"/>
      <c r="G773" s="3"/>
    </row>
    <row r="774" spans="5:7" x14ac:dyDescent="0.2">
      <c r="E774" s="2"/>
      <c r="F774" s="3"/>
      <c r="G774" s="3"/>
    </row>
    <row r="775" spans="5:7" x14ac:dyDescent="0.2">
      <c r="E775" s="2"/>
      <c r="F775" s="3"/>
      <c r="G775" s="3"/>
    </row>
    <row r="776" spans="5:7" x14ac:dyDescent="0.2">
      <c r="E776" s="2"/>
      <c r="F776" s="3"/>
      <c r="G776" s="3"/>
    </row>
    <row r="777" spans="5:7" x14ac:dyDescent="0.2">
      <c r="E777" s="2"/>
      <c r="F777" s="3"/>
      <c r="G777" s="3"/>
    </row>
    <row r="778" spans="5:7" x14ac:dyDescent="0.2">
      <c r="E778" s="2"/>
      <c r="F778" s="3"/>
      <c r="G778" s="3"/>
    </row>
    <row r="779" spans="5:7" x14ac:dyDescent="0.2">
      <c r="E779" s="2"/>
      <c r="F779" s="3"/>
      <c r="G779" s="3"/>
    </row>
    <row r="780" spans="5:7" x14ac:dyDescent="0.2">
      <c r="E780" s="2"/>
      <c r="F780" s="3"/>
      <c r="G780" s="3"/>
    </row>
    <row r="781" spans="5:7" x14ac:dyDescent="0.2">
      <c r="E781" s="2"/>
      <c r="F781" s="3"/>
      <c r="G781" s="3"/>
    </row>
    <row r="782" spans="5:7" x14ac:dyDescent="0.2">
      <c r="E782" s="2"/>
      <c r="F782" s="3"/>
      <c r="G782" s="3"/>
    </row>
    <row r="783" spans="5:7" x14ac:dyDescent="0.2">
      <c r="E783" s="2"/>
      <c r="F783" s="3"/>
      <c r="G783" s="3"/>
    </row>
    <row r="784" spans="5:7" x14ac:dyDescent="0.2">
      <c r="E784" s="2"/>
      <c r="F784" s="3"/>
      <c r="G784" s="3"/>
    </row>
    <row r="785" spans="5:7" x14ac:dyDescent="0.2">
      <c r="E785" s="2"/>
      <c r="F785" s="3"/>
      <c r="G785" s="3"/>
    </row>
    <row r="786" spans="5:7" x14ac:dyDescent="0.2">
      <c r="E786" s="2"/>
      <c r="F786" s="3"/>
      <c r="G786" s="3"/>
    </row>
    <row r="787" spans="5:7" x14ac:dyDescent="0.2">
      <c r="E787" s="2"/>
      <c r="F787" s="3"/>
      <c r="G787" s="3"/>
    </row>
    <row r="788" spans="5:7" x14ac:dyDescent="0.2">
      <c r="E788" s="2"/>
      <c r="F788" s="3"/>
      <c r="G788" s="3"/>
    </row>
    <row r="789" spans="5:7" x14ac:dyDescent="0.2">
      <c r="E789" s="2"/>
      <c r="F789" s="3"/>
      <c r="G789" s="3"/>
    </row>
    <row r="790" spans="5:7" x14ac:dyDescent="0.2">
      <c r="E790" s="2"/>
      <c r="F790" s="3"/>
      <c r="G790" s="3"/>
    </row>
    <row r="791" spans="5:7" x14ac:dyDescent="0.2">
      <c r="E791" s="2"/>
      <c r="F791" s="3"/>
      <c r="G791" s="3"/>
    </row>
    <row r="792" spans="5:7" x14ac:dyDescent="0.2">
      <c r="E792" s="2"/>
      <c r="F792" s="3"/>
      <c r="G792" s="3"/>
    </row>
    <row r="793" spans="5:7" x14ac:dyDescent="0.2">
      <c r="E793" s="2"/>
      <c r="F793" s="3"/>
      <c r="G793" s="3"/>
    </row>
    <row r="794" spans="5:7" x14ac:dyDescent="0.2">
      <c r="E794" s="2"/>
      <c r="F794" s="3"/>
      <c r="G794" s="3"/>
    </row>
    <row r="795" spans="5:7" x14ac:dyDescent="0.2">
      <c r="E795" s="2"/>
      <c r="F795" s="3"/>
      <c r="G795" s="3"/>
    </row>
    <row r="796" spans="5:7" x14ac:dyDescent="0.2">
      <c r="E796" s="2"/>
      <c r="F796" s="3"/>
      <c r="G796" s="3"/>
    </row>
    <row r="797" spans="5:7" x14ac:dyDescent="0.2">
      <c r="E797" s="2"/>
      <c r="F797" s="3"/>
      <c r="G797" s="3"/>
    </row>
    <row r="798" spans="5:7" x14ac:dyDescent="0.2">
      <c r="E798" s="2"/>
      <c r="F798" s="3"/>
      <c r="G798" s="3"/>
    </row>
    <row r="799" spans="5:7" x14ac:dyDescent="0.2">
      <c r="E799" s="2"/>
      <c r="F799" s="3"/>
      <c r="G799" s="3"/>
    </row>
    <row r="800" spans="5:7" x14ac:dyDescent="0.2">
      <c r="E800" s="2"/>
      <c r="F800" s="3"/>
      <c r="G800" s="3"/>
    </row>
    <row r="801" spans="5:7" x14ac:dyDescent="0.2">
      <c r="E801" s="2"/>
      <c r="F801" s="3"/>
      <c r="G801" s="3"/>
    </row>
    <row r="802" spans="5:7" x14ac:dyDescent="0.2">
      <c r="E802" s="2"/>
      <c r="F802" s="3"/>
      <c r="G802" s="3"/>
    </row>
    <row r="803" spans="5:7" x14ac:dyDescent="0.2">
      <c r="E803" s="2"/>
      <c r="F803" s="3"/>
      <c r="G803" s="3"/>
    </row>
    <row r="804" spans="5:7" x14ac:dyDescent="0.2">
      <c r="E804" s="2"/>
      <c r="F804" s="3"/>
      <c r="G804" s="3"/>
    </row>
    <row r="805" spans="5:7" x14ac:dyDescent="0.2">
      <c r="E805" s="2"/>
      <c r="F805" s="3"/>
      <c r="G805" s="3"/>
    </row>
    <row r="806" spans="5:7" x14ac:dyDescent="0.2">
      <c r="E806" s="2"/>
      <c r="F806" s="3"/>
      <c r="G806" s="3"/>
    </row>
    <row r="807" spans="5:7" x14ac:dyDescent="0.2">
      <c r="E807" s="2"/>
      <c r="F807" s="3"/>
      <c r="G807" s="3"/>
    </row>
    <row r="808" spans="5:7" x14ac:dyDescent="0.2">
      <c r="E808" s="2"/>
      <c r="F808" s="3"/>
      <c r="G808" s="3"/>
    </row>
    <row r="809" spans="5:7" x14ac:dyDescent="0.2">
      <c r="E809" s="2"/>
      <c r="F809" s="3"/>
      <c r="G809" s="3"/>
    </row>
    <row r="810" spans="5:7" x14ac:dyDescent="0.2">
      <c r="E810" s="2"/>
      <c r="F810" s="3"/>
      <c r="G810" s="3"/>
    </row>
    <row r="811" spans="5:7" x14ac:dyDescent="0.2">
      <c r="E811" s="2"/>
      <c r="F811" s="3"/>
      <c r="G811" s="3"/>
    </row>
    <row r="812" spans="5:7" x14ac:dyDescent="0.2">
      <c r="E812" s="2"/>
      <c r="F812" s="3"/>
      <c r="G812" s="3"/>
    </row>
    <row r="813" spans="5:7" x14ac:dyDescent="0.2">
      <c r="E813" s="2"/>
      <c r="F813" s="3"/>
      <c r="G813" s="3"/>
    </row>
    <row r="814" spans="5:7" x14ac:dyDescent="0.2">
      <c r="E814" s="2"/>
      <c r="F814" s="3"/>
      <c r="G814" s="3"/>
    </row>
    <row r="815" spans="5:7" x14ac:dyDescent="0.2">
      <c r="E815" s="2"/>
      <c r="F815" s="3"/>
      <c r="G815" s="3"/>
    </row>
    <row r="816" spans="5:7" x14ac:dyDescent="0.2">
      <c r="E816" s="2"/>
      <c r="F816" s="3"/>
      <c r="G816" s="3"/>
    </row>
    <row r="817" spans="5:7" x14ac:dyDescent="0.2">
      <c r="E817" s="2"/>
      <c r="F817" s="3"/>
      <c r="G817" s="3"/>
    </row>
    <row r="818" spans="5:7" x14ac:dyDescent="0.2">
      <c r="E818" s="2"/>
      <c r="F818" s="3"/>
      <c r="G818" s="3"/>
    </row>
    <row r="819" spans="5:7" x14ac:dyDescent="0.2">
      <c r="E819" s="2"/>
      <c r="F819" s="3"/>
      <c r="G819" s="3"/>
    </row>
    <row r="820" spans="5:7" x14ac:dyDescent="0.2">
      <c r="E820" s="2"/>
      <c r="F820" s="3"/>
      <c r="G820" s="3"/>
    </row>
    <row r="821" spans="5:7" x14ac:dyDescent="0.2">
      <c r="E821" s="2"/>
      <c r="F821" s="3"/>
      <c r="G821" s="3"/>
    </row>
    <row r="822" spans="5:7" x14ac:dyDescent="0.2">
      <c r="E822" s="2"/>
      <c r="F822" s="3"/>
      <c r="G822" s="3"/>
    </row>
    <row r="823" spans="5:7" x14ac:dyDescent="0.2">
      <c r="E823" s="2"/>
      <c r="F823" s="3"/>
      <c r="G823" s="3"/>
    </row>
    <row r="824" spans="5:7" x14ac:dyDescent="0.2">
      <c r="E824" s="2"/>
      <c r="F824" s="3"/>
      <c r="G824" s="3"/>
    </row>
    <row r="825" spans="5:7" x14ac:dyDescent="0.2">
      <c r="E825" s="2"/>
      <c r="F825" s="3"/>
      <c r="G825" s="3"/>
    </row>
    <row r="826" spans="5:7" x14ac:dyDescent="0.2">
      <c r="E826" s="2"/>
      <c r="F826" s="3"/>
      <c r="G826" s="3"/>
    </row>
    <row r="827" spans="5:7" x14ac:dyDescent="0.2">
      <c r="E827" s="2"/>
      <c r="F827" s="3"/>
      <c r="G827" s="3"/>
    </row>
    <row r="828" spans="5:7" x14ac:dyDescent="0.2">
      <c r="E828" s="2"/>
      <c r="F828" s="3"/>
      <c r="G828" s="3"/>
    </row>
    <row r="829" spans="5:7" x14ac:dyDescent="0.2">
      <c r="E829" s="2"/>
      <c r="F829" s="3"/>
      <c r="G829" s="3"/>
    </row>
    <row r="830" spans="5:7" x14ac:dyDescent="0.2">
      <c r="E830" s="2"/>
      <c r="F830" s="3"/>
      <c r="G830" s="3"/>
    </row>
    <row r="831" spans="5:7" x14ac:dyDescent="0.2">
      <c r="E831" s="2"/>
      <c r="F831" s="3"/>
      <c r="G831" s="3"/>
    </row>
    <row r="832" spans="5:7" x14ac:dyDescent="0.2">
      <c r="E832" s="2"/>
      <c r="F832" s="3"/>
      <c r="G832" s="3"/>
    </row>
    <row r="833" spans="5:7" x14ac:dyDescent="0.2">
      <c r="E833" s="2"/>
      <c r="F833" s="3"/>
      <c r="G833" s="3"/>
    </row>
    <row r="834" spans="5:7" x14ac:dyDescent="0.2">
      <c r="E834" s="2"/>
      <c r="F834" s="3"/>
      <c r="G834" s="3"/>
    </row>
    <row r="835" spans="5:7" x14ac:dyDescent="0.2">
      <c r="E835" s="2"/>
      <c r="F835" s="3"/>
      <c r="G835" s="3"/>
    </row>
    <row r="836" spans="5:7" x14ac:dyDescent="0.2">
      <c r="E836" s="2"/>
      <c r="F836" s="3"/>
      <c r="G836" s="3"/>
    </row>
    <row r="837" spans="5:7" x14ac:dyDescent="0.2">
      <c r="E837" s="2"/>
      <c r="F837" s="3"/>
      <c r="G837" s="3"/>
    </row>
    <row r="838" spans="5:7" x14ac:dyDescent="0.2">
      <c r="E838" s="2"/>
      <c r="F838" s="3"/>
      <c r="G838" s="3"/>
    </row>
    <row r="839" spans="5:7" x14ac:dyDescent="0.2">
      <c r="E839" s="2"/>
      <c r="F839" s="3"/>
      <c r="G839" s="3"/>
    </row>
    <row r="840" spans="5:7" x14ac:dyDescent="0.2">
      <c r="E840" s="2"/>
      <c r="F840" s="3"/>
      <c r="G840" s="3"/>
    </row>
    <row r="841" spans="5:7" x14ac:dyDescent="0.2">
      <c r="E841" s="2"/>
      <c r="F841" s="3"/>
      <c r="G841" s="3"/>
    </row>
    <row r="842" spans="5:7" x14ac:dyDescent="0.2">
      <c r="E842" s="2"/>
      <c r="F842" s="3"/>
      <c r="G842" s="3"/>
    </row>
    <row r="843" spans="5:7" x14ac:dyDescent="0.2">
      <c r="E843" s="2"/>
      <c r="F843" s="3"/>
      <c r="G843" s="3"/>
    </row>
    <row r="844" spans="5:7" x14ac:dyDescent="0.2">
      <c r="E844" s="2"/>
      <c r="F844" s="3"/>
      <c r="G844" s="3"/>
    </row>
    <row r="845" spans="5:7" x14ac:dyDescent="0.2">
      <c r="E845" s="2"/>
      <c r="F845" s="3"/>
      <c r="G845" s="3"/>
    </row>
    <row r="846" spans="5:7" x14ac:dyDescent="0.2">
      <c r="E846" s="2"/>
      <c r="F846" s="3"/>
      <c r="G846" s="3"/>
    </row>
    <row r="847" spans="5:7" x14ac:dyDescent="0.2">
      <c r="E847" s="2"/>
      <c r="F847" s="3"/>
      <c r="G847" s="3"/>
    </row>
    <row r="848" spans="5:7" x14ac:dyDescent="0.2">
      <c r="E848" s="2"/>
      <c r="F848" s="3"/>
      <c r="G848" s="3"/>
    </row>
    <row r="849" spans="5:7" x14ac:dyDescent="0.2">
      <c r="E849" s="2"/>
      <c r="F849" s="3"/>
      <c r="G849" s="3"/>
    </row>
    <row r="850" spans="5:7" x14ac:dyDescent="0.2">
      <c r="E850" s="2"/>
      <c r="F850" s="3"/>
      <c r="G850" s="3"/>
    </row>
    <row r="851" spans="5:7" x14ac:dyDescent="0.2">
      <c r="E851" s="2"/>
      <c r="F851" s="3"/>
      <c r="G851" s="3"/>
    </row>
    <row r="852" spans="5:7" x14ac:dyDescent="0.2">
      <c r="E852" s="2"/>
      <c r="F852" s="3"/>
      <c r="G852" s="3"/>
    </row>
    <row r="853" spans="5:7" x14ac:dyDescent="0.2">
      <c r="E853" s="2"/>
      <c r="F853" s="3"/>
      <c r="G853" s="3"/>
    </row>
    <row r="854" spans="5:7" x14ac:dyDescent="0.2">
      <c r="E854" s="2"/>
      <c r="F854" s="3"/>
      <c r="G854" s="3"/>
    </row>
    <row r="855" spans="5:7" x14ac:dyDescent="0.2">
      <c r="E855" s="2"/>
      <c r="F855" s="3"/>
      <c r="G855" s="3"/>
    </row>
    <row r="856" spans="5:7" x14ac:dyDescent="0.2">
      <c r="E856" s="2"/>
      <c r="F856" s="3"/>
      <c r="G856" s="3"/>
    </row>
    <row r="857" spans="5:7" x14ac:dyDescent="0.2">
      <c r="E857" s="2"/>
      <c r="F857" s="3"/>
      <c r="G857" s="3"/>
    </row>
    <row r="858" spans="5:7" x14ac:dyDescent="0.2">
      <c r="E858" s="2"/>
      <c r="F858" s="3"/>
      <c r="G858" s="3"/>
    </row>
    <row r="859" spans="5:7" x14ac:dyDescent="0.2">
      <c r="E859" s="2"/>
      <c r="F859" s="3"/>
      <c r="G859" s="3"/>
    </row>
    <row r="860" spans="5:7" x14ac:dyDescent="0.2">
      <c r="E860" s="2"/>
      <c r="F860" s="3"/>
      <c r="G860" s="3"/>
    </row>
    <row r="861" spans="5:7" x14ac:dyDescent="0.2">
      <c r="E861" s="2"/>
      <c r="F861" s="3"/>
      <c r="G861" s="3"/>
    </row>
    <row r="862" spans="5:7" x14ac:dyDescent="0.2">
      <c r="E862" s="2"/>
      <c r="F862" s="3"/>
      <c r="G862" s="3"/>
    </row>
    <row r="863" spans="5:7" x14ac:dyDescent="0.2">
      <c r="E863" s="2"/>
      <c r="F863" s="3"/>
      <c r="G863" s="3"/>
    </row>
    <row r="864" spans="5:7" x14ac:dyDescent="0.2">
      <c r="E864" s="2"/>
      <c r="F864" s="3"/>
      <c r="G864" s="3"/>
    </row>
    <row r="865" spans="5:7" x14ac:dyDescent="0.2">
      <c r="E865" s="2"/>
      <c r="F865" s="3"/>
      <c r="G865" s="3"/>
    </row>
    <row r="866" spans="5:7" x14ac:dyDescent="0.2">
      <c r="E866" s="2"/>
      <c r="F866" s="3"/>
      <c r="G866" s="3"/>
    </row>
    <row r="867" spans="5:7" x14ac:dyDescent="0.2">
      <c r="E867" s="2"/>
      <c r="F867" s="3"/>
      <c r="G867" s="3"/>
    </row>
    <row r="868" spans="5:7" x14ac:dyDescent="0.2">
      <c r="E868" s="2"/>
      <c r="F868" s="3"/>
      <c r="G868" s="3"/>
    </row>
    <row r="869" spans="5:7" x14ac:dyDescent="0.2">
      <c r="E869" s="2"/>
      <c r="F869" s="3"/>
      <c r="G869" s="3"/>
    </row>
    <row r="870" spans="5:7" x14ac:dyDescent="0.2">
      <c r="E870" s="2"/>
      <c r="F870" s="3"/>
      <c r="G870" s="3"/>
    </row>
    <row r="871" spans="5:7" x14ac:dyDescent="0.2">
      <c r="E871" s="2"/>
      <c r="F871" s="3"/>
      <c r="G871" s="3"/>
    </row>
    <row r="872" spans="5:7" x14ac:dyDescent="0.2">
      <c r="E872" s="2"/>
      <c r="F872" s="3"/>
      <c r="G872" s="3"/>
    </row>
    <row r="873" spans="5:7" x14ac:dyDescent="0.2">
      <c r="E873" s="2"/>
      <c r="F873" s="3"/>
      <c r="G873" s="3"/>
    </row>
    <row r="874" spans="5:7" x14ac:dyDescent="0.2">
      <c r="E874" s="2"/>
      <c r="F874" s="3"/>
      <c r="G874" s="3"/>
    </row>
    <row r="875" spans="5:7" x14ac:dyDescent="0.2">
      <c r="E875" s="2"/>
      <c r="F875" s="3"/>
      <c r="G875" s="3"/>
    </row>
    <row r="876" spans="5:7" x14ac:dyDescent="0.2">
      <c r="E876" s="2"/>
      <c r="F876" s="3"/>
      <c r="G876" s="3"/>
    </row>
    <row r="877" spans="5:7" x14ac:dyDescent="0.2">
      <c r="E877" s="2"/>
      <c r="F877" s="3"/>
      <c r="G877" s="3"/>
    </row>
    <row r="878" spans="5:7" x14ac:dyDescent="0.2">
      <c r="E878" s="2"/>
      <c r="F878" s="3"/>
      <c r="G878" s="3"/>
    </row>
    <row r="879" spans="5:7" x14ac:dyDescent="0.2">
      <c r="E879" s="2"/>
      <c r="F879" s="3"/>
      <c r="G879" s="3"/>
    </row>
    <row r="880" spans="5:7" x14ac:dyDescent="0.2">
      <c r="E880" s="2"/>
      <c r="F880" s="3"/>
      <c r="G880" s="3"/>
    </row>
    <row r="881" spans="5:7" x14ac:dyDescent="0.2">
      <c r="E881" s="2"/>
      <c r="F881" s="3"/>
      <c r="G881" s="3"/>
    </row>
    <row r="882" spans="5:7" x14ac:dyDescent="0.2">
      <c r="E882" s="2"/>
      <c r="F882" s="3"/>
      <c r="G882" s="3"/>
    </row>
    <row r="883" spans="5:7" x14ac:dyDescent="0.2">
      <c r="E883" s="2"/>
      <c r="F883" s="3"/>
      <c r="G883" s="3"/>
    </row>
    <row r="884" spans="5:7" x14ac:dyDescent="0.2">
      <c r="E884" s="2"/>
      <c r="F884" s="3"/>
      <c r="G884" s="3"/>
    </row>
    <row r="885" spans="5:7" x14ac:dyDescent="0.2">
      <c r="E885" s="2"/>
      <c r="F885" s="3"/>
      <c r="G885" s="3"/>
    </row>
    <row r="886" spans="5:7" x14ac:dyDescent="0.2">
      <c r="E886" s="2"/>
      <c r="F886" s="3"/>
      <c r="G886" s="3"/>
    </row>
    <row r="887" spans="5:7" x14ac:dyDescent="0.2">
      <c r="E887" s="2"/>
      <c r="F887" s="3"/>
      <c r="G887" s="3"/>
    </row>
    <row r="888" spans="5:7" x14ac:dyDescent="0.2">
      <c r="E888" s="2"/>
      <c r="F888" s="3"/>
      <c r="G888" s="3"/>
    </row>
    <row r="889" spans="5:7" x14ac:dyDescent="0.2">
      <c r="E889" s="2"/>
      <c r="F889" s="3"/>
      <c r="G889" s="3"/>
    </row>
    <row r="890" spans="5:7" x14ac:dyDescent="0.2">
      <c r="E890" s="2"/>
      <c r="F890" s="3"/>
      <c r="G890" s="3"/>
    </row>
    <row r="891" spans="5:7" x14ac:dyDescent="0.2">
      <c r="E891" s="2"/>
      <c r="F891" s="3"/>
      <c r="G891" s="3"/>
    </row>
    <row r="892" spans="5:7" x14ac:dyDescent="0.2">
      <c r="E892" s="2"/>
      <c r="F892" s="3"/>
      <c r="G892" s="3"/>
    </row>
    <row r="893" spans="5:7" x14ac:dyDescent="0.2">
      <c r="E893" s="2"/>
      <c r="F893" s="3"/>
      <c r="G893" s="3"/>
    </row>
    <row r="894" spans="5:7" x14ac:dyDescent="0.2">
      <c r="E894" s="2"/>
      <c r="F894" s="3"/>
      <c r="G894" s="3"/>
    </row>
    <row r="895" spans="5:7" x14ac:dyDescent="0.2">
      <c r="E895" s="2"/>
      <c r="F895" s="3"/>
      <c r="G895" s="3"/>
    </row>
    <row r="896" spans="5:7" x14ac:dyDescent="0.2">
      <c r="E896" s="2"/>
      <c r="F896" s="3"/>
      <c r="G896" s="3"/>
    </row>
    <row r="897" spans="5:7" x14ac:dyDescent="0.2">
      <c r="E897" s="2"/>
      <c r="F897" s="3"/>
      <c r="G897" s="3"/>
    </row>
    <row r="898" spans="5:7" x14ac:dyDescent="0.2">
      <c r="E898" s="2"/>
      <c r="F898" s="3"/>
      <c r="G898" s="3"/>
    </row>
    <row r="899" spans="5:7" x14ac:dyDescent="0.2">
      <c r="E899" s="2"/>
      <c r="F899" s="3"/>
      <c r="G899" s="3"/>
    </row>
    <row r="900" spans="5:7" x14ac:dyDescent="0.2">
      <c r="E900" s="2"/>
      <c r="F900" s="3"/>
      <c r="G900" s="3"/>
    </row>
    <row r="901" spans="5:7" x14ac:dyDescent="0.2">
      <c r="E901" s="2"/>
      <c r="F901" s="3"/>
      <c r="G901" s="3"/>
    </row>
    <row r="902" spans="5:7" x14ac:dyDescent="0.2">
      <c r="E902" s="2"/>
      <c r="F902" s="3"/>
      <c r="G902" s="3"/>
    </row>
    <row r="903" spans="5:7" x14ac:dyDescent="0.2">
      <c r="E903" s="2"/>
      <c r="F903" s="3"/>
      <c r="G903" s="3"/>
    </row>
    <row r="904" spans="5:7" x14ac:dyDescent="0.2">
      <c r="E904" s="2"/>
      <c r="F904" s="3"/>
      <c r="G904" s="3"/>
    </row>
    <row r="905" spans="5:7" x14ac:dyDescent="0.2">
      <c r="E905" s="2"/>
      <c r="F905" s="3"/>
      <c r="G905" s="3"/>
    </row>
    <row r="906" spans="5:7" x14ac:dyDescent="0.2">
      <c r="E906" s="2"/>
      <c r="F906" s="3"/>
      <c r="G906" s="3"/>
    </row>
    <row r="907" spans="5:7" x14ac:dyDescent="0.2">
      <c r="E907" s="2"/>
      <c r="F907" s="3"/>
      <c r="G907" s="3"/>
    </row>
    <row r="908" spans="5:7" x14ac:dyDescent="0.2">
      <c r="E908" s="2"/>
      <c r="F908" s="3"/>
      <c r="G908" s="3"/>
    </row>
    <row r="909" spans="5:7" x14ac:dyDescent="0.2">
      <c r="E909" s="2"/>
      <c r="F909" s="3"/>
      <c r="G909" s="3"/>
    </row>
    <row r="910" spans="5:7" x14ac:dyDescent="0.2">
      <c r="E910" s="2"/>
      <c r="F910" s="3"/>
      <c r="G910" s="3"/>
    </row>
    <row r="911" spans="5:7" x14ac:dyDescent="0.2">
      <c r="E911" s="2"/>
      <c r="F911" s="3"/>
      <c r="G911" s="3"/>
    </row>
    <row r="912" spans="5:7" x14ac:dyDescent="0.2">
      <c r="E912" s="2"/>
      <c r="F912" s="3"/>
      <c r="G912" s="3"/>
    </row>
    <row r="913" spans="5:7" x14ac:dyDescent="0.2">
      <c r="E913" s="2"/>
      <c r="F913" s="3"/>
      <c r="G913" s="3"/>
    </row>
    <row r="914" spans="5:7" x14ac:dyDescent="0.2">
      <c r="E914" s="2"/>
      <c r="F914" s="3"/>
      <c r="G914" s="3"/>
    </row>
    <row r="915" spans="5:7" x14ac:dyDescent="0.2">
      <c r="E915" s="2"/>
      <c r="F915" s="3"/>
      <c r="G915" s="3"/>
    </row>
    <row r="916" spans="5:7" x14ac:dyDescent="0.2">
      <c r="E916" s="2"/>
      <c r="F916" s="3"/>
      <c r="G916" s="3"/>
    </row>
    <row r="917" spans="5:7" x14ac:dyDescent="0.2">
      <c r="E917" s="2"/>
      <c r="F917" s="3"/>
      <c r="G917" s="3"/>
    </row>
    <row r="918" spans="5:7" x14ac:dyDescent="0.2">
      <c r="E918" s="2"/>
      <c r="F918" s="3"/>
      <c r="G918" s="3"/>
    </row>
    <row r="919" spans="5:7" x14ac:dyDescent="0.2">
      <c r="E919" s="2"/>
      <c r="F919" s="3"/>
      <c r="G919" s="3"/>
    </row>
    <row r="920" spans="5:7" x14ac:dyDescent="0.2">
      <c r="E920" s="2"/>
      <c r="F920" s="3"/>
      <c r="G920" s="3"/>
    </row>
    <row r="921" spans="5:7" x14ac:dyDescent="0.2">
      <c r="E921" s="2"/>
      <c r="F921" s="3"/>
      <c r="G921" s="3"/>
    </row>
    <row r="922" spans="5:7" x14ac:dyDescent="0.2">
      <c r="E922" s="2"/>
      <c r="F922" s="3"/>
      <c r="G922" s="3"/>
    </row>
    <row r="923" spans="5:7" x14ac:dyDescent="0.2">
      <c r="E923" s="2"/>
      <c r="F923" s="3"/>
      <c r="G923" s="3"/>
    </row>
    <row r="924" spans="5:7" x14ac:dyDescent="0.2">
      <c r="E924" s="2"/>
      <c r="F924" s="3"/>
      <c r="G924" s="3"/>
    </row>
    <row r="925" spans="5:7" x14ac:dyDescent="0.2">
      <c r="E925" s="2"/>
      <c r="F925" s="3"/>
      <c r="G925" s="3"/>
    </row>
    <row r="926" spans="5:7" x14ac:dyDescent="0.2">
      <c r="E926" s="2"/>
      <c r="F926" s="3"/>
      <c r="G926" s="3"/>
    </row>
    <row r="927" spans="5:7" x14ac:dyDescent="0.2">
      <c r="E927" s="2"/>
      <c r="F927" s="3"/>
      <c r="G927" s="3"/>
    </row>
    <row r="928" spans="5:7" x14ac:dyDescent="0.2">
      <c r="E928" s="2"/>
      <c r="F928" s="3"/>
      <c r="G928" s="3"/>
    </row>
    <row r="929" spans="5:7" x14ac:dyDescent="0.2">
      <c r="E929" s="2"/>
      <c r="F929" s="3"/>
      <c r="G929" s="3"/>
    </row>
    <row r="930" spans="5:7" x14ac:dyDescent="0.2">
      <c r="E930" s="2"/>
      <c r="F930" s="3"/>
      <c r="G930" s="3"/>
    </row>
    <row r="931" spans="5:7" x14ac:dyDescent="0.2">
      <c r="E931" s="2"/>
      <c r="F931" s="3"/>
      <c r="G931" s="3"/>
    </row>
    <row r="932" spans="5:7" x14ac:dyDescent="0.2">
      <c r="E932" s="2"/>
      <c r="F932" s="3"/>
      <c r="G932" s="3"/>
    </row>
    <row r="933" spans="5:7" x14ac:dyDescent="0.2">
      <c r="E933" s="2"/>
      <c r="F933" s="3"/>
      <c r="G933" s="3"/>
    </row>
    <row r="934" spans="5:7" x14ac:dyDescent="0.2">
      <c r="E934" s="2"/>
      <c r="F934" s="3"/>
      <c r="G934" s="3"/>
    </row>
    <row r="935" spans="5:7" x14ac:dyDescent="0.2">
      <c r="E935" s="2"/>
      <c r="F935" s="3"/>
      <c r="G935" s="3"/>
    </row>
    <row r="936" spans="5:7" x14ac:dyDescent="0.2">
      <c r="E936" s="2"/>
      <c r="F936" s="3"/>
      <c r="G936" s="3"/>
    </row>
    <row r="937" spans="5:7" x14ac:dyDescent="0.2">
      <c r="E937" s="2"/>
      <c r="F937" s="3"/>
      <c r="G937" s="3"/>
    </row>
    <row r="938" spans="5:7" x14ac:dyDescent="0.2">
      <c r="E938" s="2"/>
      <c r="F938" s="3"/>
      <c r="G938" s="3"/>
    </row>
    <row r="939" spans="5:7" x14ac:dyDescent="0.2">
      <c r="E939" s="2"/>
      <c r="F939" s="3"/>
      <c r="G939" s="3"/>
    </row>
    <row r="940" spans="5:7" x14ac:dyDescent="0.2">
      <c r="E940" s="2"/>
      <c r="F940" s="3"/>
      <c r="G940" s="3"/>
    </row>
    <row r="941" spans="5:7" x14ac:dyDescent="0.2">
      <c r="E941" s="2"/>
      <c r="F941" s="3"/>
      <c r="G941" s="3"/>
    </row>
    <row r="942" spans="5:7" x14ac:dyDescent="0.2">
      <c r="E942" s="2"/>
      <c r="F942" s="3"/>
      <c r="G942" s="3"/>
    </row>
  </sheetData>
  <conditionalFormatting sqref="E2:Q2">
    <cfRule type="cellIs" dxfId="102" priority="2" operator="between">
      <formula>0</formula>
      <formula>0</formula>
    </cfRule>
  </conditionalFormatting>
  <conditionalFormatting sqref="R2">
    <cfRule type="cellIs" dxfId="101" priority="1" operator="between">
      <formula>0</formula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EBBDBA7-273D-4C5B-B057-A4DF490B2F50}">
          <x14:formula1>
            <xm:f>Parameters_Soil!$A$2:$A$14</xm:f>
          </x14:formula1>
          <xm:sqref>E1:R1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34BFC-400E-4E68-ABB5-DD7555CC7A2D}">
  <sheetPr codeName="Sheet4"/>
  <dimension ref="A1:D18"/>
  <sheetViews>
    <sheetView workbookViewId="0">
      <selection activeCell="B10" sqref="B10"/>
    </sheetView>
  </sheetViews>
  <sheetFormatPr defaultColWidth="0" defaultRowHeight="15" zeroHeight="1" x14ac:dyDescent="0.25"/>
  <cols>
    <col min="1" max="1" width="46.42578125" customWidth="1"/>
    <col min="2" max="2" width="18" style="6" bestFit="1" customWidth="1"/>
    <col min="3" max="3" width="43.85546875" bestFit="1" customWidth="1"/>
    <col min="4" max="4" width="9.140625" customWidth="1"/>
    <col min="5" max="16384" width="9.140625" hidden="1"/>
  </cols>
  <sheetData>
    <row r="1" spans="1:3" s="6" customFormat="1" ht="18.75" x14ac:dyDescent="0.25">
      <c r="A1" s="20" t="s">
        <v>1</v>
      </c>
      <c r="B1" s="47" t="s">
        <v>24</v>
      </c>
      <c r="C1" s="20" t="s">
        <v>0</v>
      </c>
    </row>
    <row r="2" spans="1:3" x14ac:dyDescent="0.25">
      <c r="A2" s="45" t="str">
        <f>IF('1_Data'!E1=0,"",'1_Data'!E1)</f>
        <v/>
      </c>
      <c r="B2" s="46"/>
      <c r="C2" s="30" t="str">
        <f>IFERROR(INDEX($A$2:$A$15,MATCH(ROWS($B$2:B2),$B$2:$B$15,0)),"")</f>
        <v/>
      </c>
    </row>
    <row r="3" spans="1:3" x14ac:dyDescent="0.25">
      <c r="A3" s="44" t="str">
        <f>IF('1_Data'!F1=0,"",'1_Data'!F1)</f>
        <v/>
      </c>
      <c r="B3" s="35"/>
      <c r="C3" s="30" t="str">
        <f>IFERROR(INDEX($A$2:$A$15,MATCH(ROWS($B$2:B3),$B$2:$B$15,0)),"")</f>
        <v/>
      </c>
    </row>
    <row r="4" spans="1:3" x14ac:dyDescent="0.25">
      <c r="A4" s="44" t="str">
        <f>IF('1_Data'!G1=0,"",'1_Data'!G1)</f>
        <v/>
      </c>
      <c r="B4" s="35"/>
      <c r="C4" s="30" t="str">
        <f>IFERROR(INDEX($A$2:$A$15,MATCH(ROWS($B$2:B4),$B$2:$B$15,0)),"")</f>
        <v/>
      </c>
    </row>
    <row r="5" spans="1:3" x14ac:dyDescent="0.25">
      <c r="A5" s="44" t="str">
        <f>IF('1_Data'!H1=0,"",'1_Data'!H1)</f>
        <v/>
      </c>
      <c r="B5" s="35"/>
      <c r="C5" s="30" t="str">
        <f>IFERROR(INDEX($A$2:$A$15,MATCH(ROWS($B$2:B5),$B$2:$B$15,0)),"")</f>
        <v/>
      </c>
    </row>
    <row r="6" spans="1:3" x14ac:dyDescent="0.25">
      <c r="A6" s="44" t="str">
        <f>IF('1_Data'!I1=0,"",'1_Data'!I1)</f>
        <v/>
      </c>
      <c r="B6" s="35"/>
      <c r="C6" s="30" t="str">
        <f>IFERROR(INDEX($A$2:$A$15,MATCH(ROWS($B$2:B6),$B$2:$B$15,0)),"")</f>
        <v/>
      </c>
    </row>
    <row r="7" spans="1:3" x14ac:dyDescent="0.25">
      <c r="A7" s="44" t="str">
        <f>IF('1_Data'!J1=0,"",'1_Data'!J1)</f>
        <v/>
      </c>
      <c r="B7" s="35"/>
      <c r="C7" s="30" t="str">
        <f>IFERROR(INDEX($A$2:$A$15,MATCH(ROWS($B$2:B7),$B$2:$B$15,0)),"")</f>
        <v/>
      </c>
    </row>
    <row r="8" spans="1:3" x14ac:dyDescent="0.25">
      <c r="A8" s="44" t="str">
        <f>IF('1_Data'!K1=0,"",'1_Data'!K1)</f>
        <v/>
      </c>
      <c r="B8" s="35"/>
      <c r="C8" s="30" t="str">
        <f>IFERROR(INDEX($A$2:$A$15,MATCH(ROWS($B$2:B8),$B$2:$B$15,0)),"")</f>
        <v/>
      </c>
    </row>
    <row r="9" spans="1:3" x14ac:dyDescent="0.25">
      <c r="A9" s="44" t="str">
        <f>IF('1_Data'!L1=0,"",'1_Data'!L1)</f>
        <v/>
      </c>
      <c r="B9" s="35"/>
      <c r="C9" s="30" t="str">
        <f>IFERROR(INDEX($A$2:$A$15,MATCH(ROWS($B$2:B9),$B$2:$B$15,0)),"")</f>
        <v/>
      </c>
    </row>
    <row r="10" spans="1:3" x14ac:dyDescent="0.25">
      <c r="A10" s="44" t="str">
        <f>IF('1_Data'!M1=0,"",'1_Data'!M1)</f>
        <v/>
      </c>
      <c r="B10" s="35"/>
      <c r="C10" s="30" t="str">
        <f>IFERROR(INDEX($A$2:$A$15,MATCH(ROWS($B$2:B10),$B$2:$B$15,0)),"")</f>
        <v/>
      </c>
    </row>
    <row r="11" spans="1:3" x14ac:dyDescent="0.25">
      <c r="A11" s="44" t="str">
        <f>IF('1_Data'!N1=0,"",'1_Data'!N1)</f>
        <v/>
      </c>
      <c r="B11" s="35"/>
      <c r="C11" s="30" t="str">
        <f>IFERROR(INDEX($A$2:$A$15,MATCH(ROWS($B$2:B11),$B$2:$B$15,0)),"")</f>
        <v/>
      </c>
    </row>
    <row r="12" spans="1:3" x14ac:dyDescent="0.25">
      <c r="A12" s="44" t="str">
        <f>IF('1_Data'!O1=0,"",'1_Data'!O1)</f>
        <v/>
      </c>
      <c r="B12" s="35"/>
      <c r="C12" s="30" t="str">
        <f>IFERROR(INDEX($A$2:$A$15,MATCH(ROWS($B$2:B12),$B$2:$B$15,0)),"")</f>
        <v/>
      </c>
    </row>
    <row r="13" spans="1:3" x14ac:dyDescent="0.25">
      <c r="A13" s="44" t="str">
        <f>IF('1_Data'!P1=0,"",'1_Data'!P1)</f>
        <v/>
      </c>
      <c r="B13" s="35"/>
      <c r="C13" s="30" t="str">
        <f>IFERROR(INDEX($A$2:$A$15,MATCH(ROWS($B$2:B13),$B$2:$B$15,0)),"")</f>
        <v/>
      </c>
    </row>
    <row r="14" spans="1:3" x14ac:dyDescent="0.25">
      <c r="A14" s="44" t="str">
        <f>IF('1_Data'!Q1=0,"",'1_Data'!Q1)</f>
        <v/>
      </c>
      <c r="B14" s="35"/>
      <c r="C14" s="30" t="str">
        <f>IFERROR(INDEX($A$2:$A$15,MATCH(ROWS($B$2:B14),$B$2:$B$15,0)),"")</f>
        <v/>
      </c>
    </row>
    <row r="15" spans="1:3" x14ac:dyDescent="0.25">
      <c r="A15" s="23" t="str">
        <f>IF('1_Data'!R1=0,"",'1_Data'!R1)</f>
        <v/>
      </c>
      <c r="B15" s="35"/>
      <c r="C15" s="30" t="str">
        <f>IFERROR(INDEX($A$2:$A$15,MATCH(ROWS($B$2:B15),$B$2:$B$15,0)),"")</f>
        <v/>
      </c>
    </row>
    <row r="16" spans="1:3" ht="14.25" customHeight="1" x14ac:dyDescent="0.25">
      <c r="B16"/>
    </row>
    <row r="17" spans="2:2" hidden="1" x14ac:dyDescent="0.25">
      <c r="B17"/>
    </row>
    <row r="18" spans="2:2" hidden="1" x14ac:dyDescent="0.25">
      <c r="B18"/>
    </row>
  </sheetData>
  <phoneticPr fontId="2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561F4-291D-4FAB-8BB4-C5077E03E3CD}">
  <sheetPr codeName="Sheet5"/>
  <dimension ref="A1:V21"/>
  <sheetViews>
    <sheetView zoomScale="60" zoomScaleNormal="60" workbookViewId="0">
      <selection activeCell="I1" sqref="I1"/>
    </sheetView>
  </sheetViews>
  <sheetFormatPr defaultColWidth="0" defaultRowHeight="61.5" customHeight="1" zeroHeight="1" x14ac:dyDescent="0.25"/>
  <cols>
    <col min="1" max="1" width="11.7109375" style="24" customWidth="1"/>
    <col min="2" max="16" width="11.7109375" style="7" customWidth="1"/>
    <col min="17" max="22" width="11.7109375" style="7" hidden="1" customWidth="1"/>
    <col min="23" max="16384" width="9.140625" style="7" hidden="1"/>
  </cols>
  <sheetData>
    <row r="1" spans="1:22" s="24" customFormat="1" ht="61.5" customHeight="1" x14ac:dyDescent="0.25">
      <c r="B1" s="24" t="str">
        <f>A2</f>
        <v/>
      </c>
      <c r="C1" s="25" t="str">
        <f>A3</f>
        <v/>
      </c>
      <c r="D1" s="25" t="str">
        <f>A4</f>
        <v/>
      </c>
      <c r="E1" s="25" t="str">
        <f>A5</f>
        <v/>
      </c>
      <c r="F1" s="25" t="str">
        <f>A6</f>
        <v/>
      </c>
      <c r="G1" s="25" t="str">
        <f>A7</f>
        <v/>
      </c>
      <c r="H1" s="25" t="str">
        <f>A8</f>
        <v/>
      </c>
      <c r="I1" s="25" t="str">
        <f>A9</f>
        <v/>
      </c>
      <c r="J1" s="24" t="str">
        <f>A10</f>
        <v/>
      </c>
      <c r="K1" s="24" t="str">
        <f>A11</f>
        <v/>
      </c>
      <c r="L1" s="24" t="str">
        <f>A12</f>
        <v/>
      </c>
      <c r="M1" s="24" t="str">
        <f>A13</f>
        <v/>
      </c>
      <c r="N1" s="24" t="str">
        <f>A14</f>
        <v/>
      </c>
      <c r="O1" s="24" t="str">
        <f>A15</f>
        <v/>
      </c>
      <c r="U1" s="25"/>
      <c r="V1" s="25"/>
    </row>
    <row r="2" spans="1:22" ht="61.5" customHeight="1" x14ac:dyDescent="0.25">
      <c r="A2" s="24" t="str">
        <f>IF('2_Ranking'!C2="","",'2_Ranking'!C2)</f>
        <v/>
      </c>
      <c r="B2" s="7" t="str">
        <f>IF(LEN($A2)=0,"",1)</f>
        <v/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1:22" ht="61.5" customHeight="1" x14ac:dyDescent="0.25">
      <c r="A3" s="24" t="str">
        <f>IF('2_Ranking'!C3="","",'2_Ranking'!C3)</f>
        <v/>
      </c>
      <c r="B3" s="7" t="str">
        <f>IF(C2&lt;&gt;"",ROUND(1/C2,2),"")</f>
        <v/>
      </c>
      <c r="C3" s="7" t="str">
        <f>IF(LEN($A3)=0,"",1)</f>
        <v/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1:22" ht="61.5" customHeight="1" x14ac:dyDescent="0.25">
      <c r="A4" s="24" t="str">
        <f>IF('2_Ranking'!C4="","",'2_Ranking'!C4)</f>
        <v/>
      </c>
      <c r="B4" s="7" t="str">
        <f>IF(D2&lt;&gt;"",ROUND(1/D2,2),"")</f>
        <v/>
      </c>
      <c r="C4" s="7" t="str">
        <f>IF(D3&lt;&gt;"",ROUND(1/D3,2),"")</f>
        <v/>
      </c>
      <c r="D4" s="7" t="str">
        <f>IF(LEN($A4)=0,"",1)</f>
        <v/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2" ht="61.5" customHeight="1" x14ac:dyDescent="0.25">
      <c r="A5" s="24" t="str">
        <f>IF('2_Ranking'!C5="","",'2_Ranking'!C5)</f>
        <v/>
      </c>
      <c r="B5" s="7" t="str">
        <f>IF(E2&lt;&gt;"",ROUND(1/E2,2),"")</f>
        <v/>
      </c>
      <c r="C5" s="7" t="str">
        <f>IF(E3&lt;&gt;"",ROUND(1/E3,2),"")</f>
        <v/>
      </c>
      <c r="D5" s="7" t="str">
        <f>IF(E4&lt;&gt;"",ROUND(1/E4,2),"")</f>
        <v/>
      </c>
      <c r="E5" s="7" t="str">
        <f>IF(LEN($A5)=0,"",1)</f>
        <v/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2" ht="61.5" customHeight="1" x14ac:dyDescent="0.25">
      <c r="A6" s="24" t="str">
        <f>IF('2_Ranking'!C6="","",'2_Ranking'!C6)</f>
        <v/>
      </c>
      <c r="B6" s="7" t="str">
        <f>IF(F2&lt;&gt;"",ROUND(1/F2,2),"")</f>
        <v/>
      </c>
      <c r="C6" s="7" t="str">
        <f>IF(F3&lt;&gt;"",ROUND(1/F3,2),"")</f>
        <v/>
      </c>
      <c r="D6" s="7" t="str">
        <f>IF(F4&lt;&gt;"",ROUND(1/F4,2),"")</f>
        <v/>
      </c>
      <c r="E6" s="7" t="str">
        <f>IF(F5&lt;&gt;"",ROUND(1/F5,2),"")</f>
        <v/>
      </c>
      <c r="F6" s="7" t="str">
        <f>IF(LEN($A6)=0,"",1)</f>
        <v/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22" ht="61.5" customHeight="1" x14ac:dyDescent="0.25">
      <c r="A7" s="24" t="str">
        <f>IF('2_Ranking'!C7="","",'2_Ranking'!C7)</f>
        <v/>
      </c>
      <c r="B7" s="7" t="str">
        <f>IF(G2&lt;&gt;"",ROUND(1/G2,2),"")</f>
        <v/>
      </c>
      <c r="C7" s="7" t="str">
        <f>IF(G3&lt;&gt;"",ROUND(1/G3,2),"")</f>
        <v/>
      </c>
      <c r="D7" s="7" t="str">
        <f>IF(G4&lt;&gt;"",ROUND(1/G4,2),"")</f>
        <v/>
      </c>
      <c r="E7" s="7" t="str">
        <f>IF(G5&lt;&gt;"",ROUND(1/G5,2),"")</f>
        <v/>
      </c>
      <c r="F7" s="7" t="str">
        <f>IF(G6&lt;&gt;"",ROUND(1/G6,2),"")</f>
        <v/>
      </c>
      <c r="G7" s="7" t="str">
        <f>IF(LEN($A7)=0,"",1)</f>
        <v/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22" ht="61.5" customHeight="1" x14ac:dyDescent="0.25">
      <c r="A8" s="24" t="str">
        <f>IF('2_Ranking'!C8="","",'2_Ranking'!C8)</f>
        <v/>
      </c>
      <c r="B8" s="7" t="str">
        <f>IF(H2&lt;&gt;"",ROUND(1/H2,2),"")</f>
        <v/>
      </c>
      <c r="C8" s="7" t="str">
        <f>IF(H3&lt;&gt;"",ROUND(1/H3,2),"")</f>
        <v/>
      </c>
      <c r="D8" s="7" t="str">
        <f>IF(H4&lt;&gt;"",ROUND(1/H4,2),"")</f>
        <v/>
      </c>
      <c r="E8" s="7" t="str">
        <f>IF(H5&lt;&gt;"",ROUND(1/H5,2),"")</f>
        <v/>
      </c>
      <c r="F8" s="7" t="str">
        <f>IF(H6&lt;&gt;"",ROUND(1/H6,2),"")</f>
        <v/>
      </c>
      <c r="G8" s="7" t="str">
        <f>IF(H7&lt;&gt;"",ROUND(1/H7,2),"")</f>
        <v/>
      </c>
      <c r="H8" s="7" t="str">
        <f>IF(LEN($A8)=0,"",1)</f>
        <v/>
      </c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2" ht="61.5" customHeight="1" x14ac:dyDescent="0.25">
      <c r="A9" s="24" t="str">
        <f>IF('2_Ranking'!C9="","",'2_Ranking'!C9)</f>
        <v/>
      </c>
      <c r="B9" s="7" t="str">
        <f>IF(I2&lt;&gt;"",ROUND(1/I2,2),"")</f>
        <v/>
      </c>
      <c r="C9" s="7" t="str">
        <f>IF(I3&lt;&gt;"",ROUND(1/I3,2),"")</f>
        <v/>
      </c>
      <c r="D9" s="7" t="str">
        <f>IF(I4&lt;&gt;"",ROUND(1/I4,2),"")</f>
        <v/>
      </c>
      <c r="E9" s="7" t="str">
        <f>IF(I5&lt;&gt;"",ROUND(1/I5,2),"")</f>
        <v/>
      </c>
      <c r="F9" s="7" t="str">
        <f>IF(I6&lt;&gt;"",ROUND(1/I6,2),"")</f>
        <v/>
      </c>
      <c r="G9" s="7" t="str">
        <f>IF(I7&lt;&gt;"",ROUND(1/I7,2),"")</f>
        <v/>
      </c>
      <c r="H9" s="7" t="str">
        <f>IF(I8&lt;&gt;"",ROUND(1/I8,2),"")</f>
        <v/>
      </c>
      <c r="I9" s="7" t="str">
        <f>IF(LEN($A9)=0,"",1)</f>
        <v/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2" ht="61.5" customHeight="1" x14ac:dyDescent="0.25">
      <c r="A10" s="24" t="str">
        <f>IF('2_Ranking'!C10="","",'2_Ranking'!C10)</f>
        <v/>
      </c>
      <c r="B10" s="7" t="str">
        <f>IF(J2&lt;&gt;"",ROUND(1/J2,2),"")</f>
        <v/>
      </c>
      <c r="C10" s="7" t="str">
        <f>IF(J3&lt;&gt;"",ROUND(1/J3,2),"")</f>
        <v/>
      </c>
      <c r="D10" s="7" t="str">
        <f>IF(J4&lt;&gt;"",ROUND(1/J4,2),"")</f>
        <v/>
      </c>
      <c r="E10" s="7" t="str">
        <f>IF(J5&lt;&gt;"",ROUND(1/J5,2),"")</f>
        <v/>
      </c>
      <c r="F10" s="7" t="str">
        <f>IF(J6&lt;&gt;"",ROUND(1/J6,2),"")</f>
        <v/>
      </c>
      <c r="G10" s="7" t="str">
        <f>IF(J7&lt;&gt;"",ROUND(1/J7,2),"")</f>
        <v/>
      </c>
      <c r="H10" s="7" t="str">
        <f>IF(J8&lt;&gt;"",ROUND(1/J8,2),"")</f>
        <v/>
      </c>
      <c r="I10" s="7" t="str">
        <f>IF(J9&lt;&gt;"",ROUND(1/J9,2),"")</f>
        <v/>
      </c>
      <c r="J10" s="7" t="str">
        <f>IF(LEN($A10)=0,"",1)</f>
        <v/>
      </c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22" ht="61.5" customHeight="1" x14ac:dyDescent="0.25">
      <c r="A11" s="24" t="str">
        <f>IF('2_Ranking'!C11="","",'2_Ranking'!C11)</f>
        <v/>
      </c>
      <c r="B11" s="7" t="str">
        <f>IF(K2&lt;&gt;"",ROUND(1/K2,2),"")</f>
        <v/>
      </c>
      <c r="C11" s="7" t="str">
        <f>IF(K3&lt;&gt;"",ROUND(1/K3,2),"")</f>
        <v/>
      </c>
      <c r="D11" s="7" t="str">
        <f>IF(K4&lt;&gt;"",ROUND(1/K4,2),"")</f>
        <v/>
      </c>
      <c r="E11" s="7" t="str">
        <f>IF(K5&lt;&gt;"",ROUND(1/K5,2),"")</f>
        <v/>
      </c>
      <c r="F11" s="7" t="str">
        <f>IF(K6&lt;&gt;"",ROUND(1/K6,2),"")</f>
        <v/>
      </c>
      <c r="G11" s="7" t="str">
        <f>IF(K7&lt;&gt;"",ROUND(1/K7,2),"")</f>
        <v/>
      </c>
      <c r="H11" s="7" t="str">
        <f>IF(K8&lt;&gt;"",ROUND(1/K8,2),"")</f>
        <v/>
      </c>
      <c r="I11" s="7" t="str">
        <f>IF(K9&lt;&gt;"",ROUND(1/K9,2),"")</f>
        <v/>
      </c>
      <c r="J11" s="7" t="str">
        <f>IF(K10&lt;&gt;"",ROUND(1/K10,2),"")</f>
        <v/>
      </c>
      <c r="K11" s="7" t="str">
        <f>IF(LEN($A11)=0,"",1)</f>
        <v/>
      </c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1:22" ht="61.5" customHeight="1" x14ac:dyDescent="0.25">
      <c r="A12" s="24" t="str">
        <f>IF('2_Ranking'!C12="","",'2_Ranking'!C12)</f>
        <v/>
      </c>
      <c r="B12" s="7" t="str">
        <f>IF(L2&lt;&gt;"",ROUND(1/L2,2),"")</f>
        <v/>
      </c>
      <c r="C12" s="7" t="str">
        <f>IF(L3&lt;&gt;"",ROUND(1/L3,2),"")</f>
        <v/>
      </c>
      <c r="D12" s="7" t="str">
        <f>IF(L4&lt;&gt;"",ROUND(1/L4,2),"")</f>
        <v/>
      </c>
      <c r="E12" s="7" t="str">
        <f>IF(L5&lt;&gt;"",ROUND(1/L5,2),"")</f>
        <v/>
      </c>
      <c r="F12" s="7" t="str">
        <f>IF(L6&lt;&gt;"",ROUND(1/L6,2),"")</f>
        <v/>
      </c>
      <c r="G12" s="7" t="str">
        <f>IF(L7&lt;&gt;"",ROUND(1/L7,2),"")</f>
        <v/>
      </c>
      <c r="H12" s="7" t="str">
        <f>IF(L8&lt;&gt;"",ROUND(1/L8,2),"")</f>
        <v/>
      </c>
      <c r="I12" s="7" t="str">
        <f>IF(L9&lt;&gt;"",ROUND(1/L9,2),"")</f>
        <v/>
      </c>
      <c r="J12" s="7" t="str">
        <f>IF(L10&lt;&gt;"",ROUND(1/L10,2),"")</f>
        <v/>
      </c>
      <c r="K12" s="7" t="str">
        <f>IF(L11&lt;&gt;"",ROUND(1/L11,2),"")</f>
        <v/>
      </c>
      <c r="L12" s="7" t="str">
        <f>IF(LEN($A12)=0,"",1)</f>
        <v/>
      </c>
      <c r="M12" s="11"/>
      <c r="N12" s="11"/>
      <c r="O12" s="11"/>
      <c r="P12" s="11"/>
      <c r="Q12" s="11"/>
      <c r="R12" s="11"/>
      <c r="S12" s="11"/>
      <c r="T12" s="11"/>
      <c r="U12" s="11"/>
    </row>
    <row r="13" spans="1:22" ht="61.5" customHeight="1" x14ac:dyDescent="0.25">
      <c r="A13" s="24" t="str">
        <f>IF('2_Ranking'!C13="","",'2_Ranking'!C13)</f>
        <v/>
      </c>
      <c r="B13" s="7" t="str">
        <f>IF(M2&lt;&gt;"",ROUND(1/M2,2),"")</f>
        <v/>
      </c>
      <c r="C13" s="7" t="str">
        <f>IF(M3&lt;&gt;"",ROUND(1/M3,2),"")</f>
        <v/>
      </c>
      <c r="D13" s="7" t="str">
        <f>IF(M4&lt;&gt;"",ROUND(1/M4,2),"")</f>
        <v/>
      </c>
      <c r="E13" s="7" t="str">
        <f>IF(M5&lt;&gt;"",ROUND(1/M5,2),"")</f>
        <v/>
      </c>
      <c r="F13" s="7" t="str">
        <f>IF(M6&lt;&gt;"",ROUND(1/M6,2),"")</f>
        <v/>
      </c>
      <c r="G13" s="7" t="str">
        <f>IF(M7&lt;&gt;"",ROUND(1/M7,2),"")</f>
        <v/>
      </c>
      <c r="H13" s="7" t="str">
        <f>IF(M8&lt;&gt;"",ROUND(1/M8,2),"")</f>
        <v/>
      </c>
      <c r="I13" s="7" t="str">
        <f>IF(M9&lt;&gt;"",ROUND(1/M9,2),"")</f>
        <v/>
      </c>
      <c r="J13" s="7" t="str">
        <f>IF(M10&lt;&gt;"",ROUND(1/M10,2),"")</f>
        <v/>
      </c>
      <c r="K13" s="7" t="str">
        <f>IF(M11&lt;&gt;"",ROUND(1/M11,2),"")</f>
        <v/>
      </c>
      <c r="L13" s="7" t="str">
        <f>IF(M12&lt;&gt;"",ROUND(1/M12,2),"")</f>
        <v/>
      </c>
      <c r="M13" s="7" t="str">
        <f>IF(LEN($A13)=0,"",1)</f>
        <v/>
      </c>
      <c r="N13" s="11"/>
      <c r="O13" s="11"/>
      <c r="P13" s="11"/>
      <c r="Q13" s="11"/>
      <c r="R13" s="11"/>
      <c r="S13" s="11"/>
      <c r="T13" s="11"/>
      <c r="U13" s="11"/>
    </row>
    <row r="14" spans="1:22" ht="61.5" customHeight="1" x14ac:dyDescent="0.25">
      <c r="A14" s="24" t="str">
        <f>IF('2_Ranking'!C14="","",'2_Ranking'!C14)</f>
        <v/>
      </c>
      <c r="B14" s="7" t="str">
        <f>IF(N2&lt;&gt;"",ROUND(1/N2,2),"")</f>
        <v/>
      </c>
      <c r="C14" s="7" t="str">
        <f>IF(N3&lt;&gt;"",ROUND(1/N3,2),"")</f>
        <v/>
      </c>
      <c r="D14" s="7" t="str">
        <f>IF(N4&lt;&gt;"",ROUND(1/N4,2),"")</f>
        <v/>
      </c>
      <c r="E14" s="7" t="str">
        <f>IF(N5&lt;&gt;"",ROUND(1/N5,2),"")</f>
        <v/>
      </c>
      <c r="F14" s="7" t="str">
        <f>IF(N6&lt;&gt;"",ROUND(1/N6,2),"")</f>
        <v/>
      </c>
      <c r="G14" s="7" t="str">
        <f>IF(N7&lt;&gt;"",ROUND(1/N7,2),"")</f>
        <v/>
      </c>
      <c r="H14" s="7" t="str">
        <f>IF(N8&lt;&gt;"",ROUND(1/N8,2),"")</f>
        <v/>
      </c>
      <c r="I14" s="7" t="str">
        <f>IF(N9&lt;&gt;"",ROUND(1/N9,2),"")</f>
        <v/>
      </c>
      <c r="J14" s="7" t="str">
        <f>IF(N10&lt;&gt;"",ROUND(1/N10,2),"")</f>
        <v/>
      </c>
      <c r="K14" s="7" t="str">
        <f>IF(N11&lt;&gt;"",ROUND(1/N11,2),"")</f>
        <v/>
      </c>
      <c r="L14" s="7" t="str">
        <f>IF(N12&lt;&gt;"",ROUND(1/N12,2),"")</f>
        <v/>
      </c>
      <c r="M14" s="7" t="str">
        <f>IF(N13&lt;&gt;"",ROUND(1/N13,2),"")</f>
        <v/>
      </c>
      <c r="N14" s="7" t="str">
        <f>IF(LEN($A14)=0,"",1)</f>
        <v/>
      </c>
      <c r="O14" s="11"/>
      <c r="P14" s="11"/>
      <c r="Q14" s="11"/>
      <c r="R14" s="11"/>
      <c r="S14" s="11"/>
      <c r="T14" s="11"/>
      <c r="U14" s="11"/>
    </row>
    <row r="15" spans="1:22" ht="61.5" customHeight="1" x14ac:dyDescent="0.25">
      <c r="A15" s="24" t="str">
        <f>IF('2_Ranking'!C15="","",'2_Ranking'!C15)</f>
        <v/>
      </c>
      <c r="B15" s="7" t="str">
        <f>IF(O2&lt;&gt;"",ROUND(1/O2,2),"")</f>
        <v/>
      </c>
      <c r="C15" s="7" t="str">
        <f>IF(O3&lt;&gt;"",ROUND(1/O3,2),"")</f>
        <v/>
      </c>
      <c r="D15" s="7" t="str">
        <f>IF(O4&lt;&gt;"",ROUND(1/O4,2),"")</f>
        <v/>
      </c>
      <c r="E15" s="7" t="str">
        <f>IF(O5&lt;&gt;"",ROUND(1/O5,2),"")</f>
        <v/>
      </c>
      <c r="F15" s="7" t="str">
        <f>IF(O6&lt;&gt;"",ROUND(1/O6,2),"")</f>
        <v/>
      </c>
      <c r="G15" s="7" t="str">
        <f>IF(O7&lt;&gt;"",ROUND(1/O7,2),"")</f>
        <v/>
      </c>
      <c r="H15" s="7" t="str">
        <f>IF(O8&lt;&gt;"",ROUND(1/O8,2),"")</f>
        <v/>
      </c>
      <c r="I15" s="7" t="str">
        <f>IF(O9&lt;&gt;"",ROUND(1/O9,2),"")</f>
        <v/>
      </c>
      <c r="J15" s="7" t="str">
        <f>IF(O10&lt;&gt;"",ROUND(1/O10,2),"")</f>
        <v/>
      </c>
      <c r="K15" s="7" t="str">
        <f>IF(O11&lt;&gt;"",ROUND(1/O11,2),"")</f>
        <v/>
      </c>
      <c r="L15" s="7" t="str">
        <f>IF(O12&lt;&gt;"",ROUND(1/O12,2),"")</f>
        <v/>
      </c>
      <c r="M15" s="7" t="str">
        <f>IF(O13&lt;&gt;"",ROUND(1/O13,2),"")</f>
        <v/>
      </c>
      <c r="N15" s="7" t="str">
        <f>IF(O14&lt;&gt;"",ROUND(1/O14,2),"")</f>
        <v/>
      </c>
      <c r="O15" s="7" t="str">
        <f>IF(LEN($A15)=0,"",1)</f>
        <v/>
      </c>
      <c r="P15" s="11"/>
      <c r="Q15" s="11"/>
      <c r="R15" s="11"/>
      <c r="S15" s="11"/>
      <c r="T15" s="11"/>
      <c r="U15" s="11"/>
    </row>
    <row r="16" spans="1:22" ht="61.5" customHeight="1" x14ac:dyDescent="0.25">
      <c r="P16" s="12"/>
      <c r="Q16" s="11"/>
      <c r="R16" s="11"/>
      <c r="S16" s="11"/>
      <c r="T16" s="11"/>
      <c r="U16" s="11"/>
    </row>
    <row r="17" spans="18:21" ht="61.5" hidden="1" customHeight="1" x14ac:dyDescent="0.25">
      <c r="R17" s="11"/>
      <c r="S17" s="11"/>
      <c r="T17" s="11"/>
      <c r="U17" s="11"/>
    </row>
    <row r="18" spans="18:21" ht="61.5" hidden="1" customHeight="1" x14ac:dyDescent="0.25">
      <c r="S18" s="11"/>
      <c r="T18" s="11"/>
      <c r="U18" s="11"/>
    </row>
    <row r="19" spans="18:21" ht="61.5" hidden="1" customHeight="1" x14ac:dyDescent="0.25">
      <c r="T19" s="11"/>
      <c r="U19" s="11"/>
    </row>
    <row r="20" spans="18:21" ht="61.5" hidden="1" customHeight="1" x14ac:dyDescent="0.3">
      <c r="S20" s="8"/>
      <c r="U20" s="11"/>
    </row>
    <row r="21" spans="18:21" ht="61.5" hidden="1" customHeight="1" x14ac:dyDescent="0.3">
      <c r="S21" s="8"/>
      <c r="T21" s="9"/>
    </row>
  </sheetData>
  <conditionalFormatting sqref="A20:R21 A7:G7 A8:H8 A9:I9 T20:U20 U21 A1:U1 A6:F6 A2:B2 A3:C3 A4:D4 A5:E5 A13:U19 P2:U6 A10:J10 A11:K11 A12:L12 P10:U12">
    <cfRule type="expression" dxfId="100" priority="136">
      <formula>LEN(A1)&gt;0</formula>
    </cfRule>
  </conditionalFormatting>
  <conditionalFormatting sqref="N13:U13">
    <cfRule type="expression" dxfId="99" priority="104">
      <formula>AND(LEN($A13)&gt;0,LEN(N$1)&gt;0)</formula>
    </cfRule>
  </conditionalFormatting>
  <conditionalFormatting sqref="O14:U14">
    <cfRule type="expression" dxfId="98" priority="103">
      <formula>AND(LEN($A14)&gt;0,LEN(O$1)&gt;0)</formula>
    </cfRule>
  </conditionalFormatting>
  <conditionalFormatting sqref="P9:U9">
    <cfRule type="expression" dxfId="97" priority="113">
      <formula>AND(LEN($A9)&gt;0,LEN(P$1)&gt;0)</formula>
    </cfRule>
  </conditionalFormatting>
  <conditionalFormatting sqref="P2:U2">
    <cfRule type="expression" dxfId="96" priority="132">
      <formula>AND(LEN($A2)&gt;0,LEN(P$1)&gt;0)</formula>
    </cfRule>
  </conditionalFormatting>
  <conditionalFormatting sqref="P3:U3">
    <cfRule type="expression" dxfId="95" priority="131">
      <formula>AND(LEN($A3)&gt;0,LEN(P$1)&gt;0)</formula>
    </cfRule>
  </conditionalFormatting>
  <conditionalFormatting sqref="P3:U3">
    <cfRule type="expression" dxfId="94" priority="130">
      <formula>AND(LEN($A3)&gt;0,LEN(P$1)&gt;0)</formula>
    </cfRule>
  </conditionalFormatting>
  <conditionalFormatting sqref="P4:U4">
    <cfRule type="expression" dxfId="93" priority="129">
      <formula>AND(LEN($A4)&gt;0,LEN(P$1)&gt;0)</formula>
    </cfRule>
  </conditionalFormatting>
  <conditionalFormatting sqref="P4:U4">
    <cfRule type="expression" dxfId="92" priority="128">
      <formula>AND(LEN($A4)&gt;0,LEN(P$1)&gt;0)</formula>
    </cfRule>
  </conditionalFormatting>
  <conditionalFormatting sqref="V7">
    <cfRule type="expression" dxfId="91" priority="127">
      <formula>LEN(V7)&gt;0</formula>
    </cfRule>
  </conditionalFormatting>
  <conditionalFormatting sqref="V8:W8">
    <cfRule type="expression" dxfId="90" priority="126">
      <formula>LEN(V8)&gt;0</formula>
    </cfRule>
  </conditionalFormatting>
  <conditionalFormatting sqref="V9:X9">
    <cfRule type="expression" dxfId="89" priority="125">
      <formula>LEN(V9)&gt;0</formula>
    </cfRule>
  </conditionalFormatting>
  <conditionalFormatting sqref="P5:U5">
    <cfRule type="expression" dxfId="88" priority="124">
      <formula>AND(LEN($A5)&gt;0,LEN(P$1)&gt;0)</formula>
    </cfRule>
  </conditionalFormatting>
  <conditionalFormatting sqref="P5:U5">
    <cfRule type="expression" dxfId="87" priority="123">
      <formula>AND(LEN($A5)&gt;0,LEN(P$1)&gt;0)</formula>
    </cfRule>
  </conditionalFormatting>
  <conditionalFormatting sqref="P6:U6">
    <cfRule type="expression" dxfId="86" priority="122">
      <formula>AND(LEN($A6)&gt;0,LEN(P$1)&gt;0)</formula>
    </cfRule>
  </conditionalFormatting>
  <conditionalFormatting sqref="P6:U6">
    <cfRule type="expression" dxfId="85" priority="121">
      <formula>AND(LEN($A6)&gt;0,LEN(P$1)&gt;0)</formula>
    </cfRule>
  </conditionalFormatting>
  <conditionalFormatting sqref="P7:U7">
    <cfRule type="expression" dxfId="84" priority="120">
      <formula>LEN(P7)&gt;0</formula>
    </cfRule>
  </conditionalFormatting>
  <conditionalFormatting sqref="P7:U7">
    <cfRule type="expression" dxfId="83" priority="119">
      <formula>AND(LEN($A7)&gt;0,LEN(P$1)&gt;0)</formula>
    </cfRule>
  </conditionalFormatting>
  <conditionalFormatting sqref="P7:U7">
    <cfRule type="expression" dxfId="82" priority="118">
      <formula>AND(LEN($A7)&gt;0,LEN(P$1)&gt;0)</formula>
    </cfRule>
  </conditionalFormatting>
  <conditionalFormatting sqref="P8:U8">
    <cfRule type="expression" dxfId="81" priority="117">
      <formula>LEN(P8)&gt;0</formula>
    </cfRule>
  </conditionalFormatting>
  <conditionalFormatting sqref="P8:U8">
    <cfRule type="expression" dxfId="80" priority="116">
      <formula>AND(LEN($A8)&gt;0,LEN(P$1)&gt;0)</formula>
    </cfRule>
  </conditionalFormatting>
  <conditionalFormatting sqref="P8:U8">
    <cfRule type="expression" dxfId="79" priority="115">
      <formula>AND(LEN($A8)&gt;0,LEN(P$1)&gt;0)</formula>
    </cfRule>
  </conditionalFormatting>
  <conditionalFormatting sqref="P9:U9">
    <cfRule type="expression" dxfId="78" priority="114">
      <formula>LEN(P9)&gt;0</formula>
    </cfRule>
  </conditionalFormatting>
  <conditionalFormatting sqref="P9:U9">
    <cfRule type="expression" dxfId="77" priority="112">
      <formula>AND(LEN($A9)&gt;0,LEN(P$1)&gt;0)</formula>
    </cfRule>
  </conditionalFormatting>
  <conditionalFormatting sqref="P10:U10">
    <cfRule type="expression" dxfId="76" priority="111">
      <formula>AND(LEN($A10)&gt;0,LEN(P$1)&gt;0)</formula>
    </cfRule>
  </conditionalFormatting>
  <conditionalFormatting sqref="P10:U10">
    <cfRule type="expression" dxfId="75" priority="110">
      <formula>AND(LEN($A10)&gt;0,LEN(P$1)&gt;0)</formula>
    </cfRule>
  </conditionalFormatting>
  <conditionalFormatting sqref="P11:U11">
    <cfRule type="expression" dxfId="74" priority="109">
      <formula>AND(LEN($A11)&gt;0,LEN(P$1)&gt;0)</formula>
    </cfRule>
  </conditionalFormatting>
  <conditionalFormatting sqref="P11:U11">
    <cfRule type="expression" dxfId="73" priority="108">
      <formula>AND(LEN($A11)&gt;0,LEN(P$1)&gt;0)</formula>
    </cfRule>
  </conditionalFormatting>
  <conditionalFormatting sqref="P12:U12">
    <cfRule type="expression" dxfId="72" priority="107">
      <formula>AND(LEN($A12)&gt;0,LEN(P$1)&gt;0)</formula>
    </cfRule>
  </conditionalFormatting>
  <conditionalFormatting sqref="P12:U12">
    <cfRule type="expression" dxfId="71" priority="106">
      <formula>AND(LEN($A12)&gt;0,LEN(P$1)&gt;0)</formula>
    </cfRule>
  </conditionalFormatting>
  <conditionalFormatting sqref="N13:U13">
    <cfRule type="expression" dxfId="70" priority="105">
      <formula>AND(LEN($A13)&gt;0,LEN(N$1)&gt;0)</formula>
    </cfRule>
  </conditionalFormatting>
  <conditionalFormatting sqref="O14:U14">
    <cfRule type="expression" dxfId="69" priority="102">
      <formula>AND(LEN($A14)&gt;0,LEN(O$1)&gt;0)</formula>
    </cfRule>
  </conditionalFormatting>
  <conditionalFormatting sqref="P15:U15">
    <cfRule type="expression" dxfId="68" priority="101">
      <formula>AND(LEN($A15)&gt;0,LEN(P$1)&gt;0)</formula>
    </cfRule>
  </conditionalFormatting>
  <conditionalFormatting sqref="P15:U15">
    <cfRule type="expression" dxfId="67" priority="100">
      <formula>AND(LEN($A15)&gt;0,LEN(P$1)&gt;0)</formula>
    </cfRule>
  </conditionalFormatting>
  <conditionalFormatting sqref="Q16:U16">
    <cfRule type="expression" dxfId="66" priority="99">
      <formula>AND(LEN($A16)&gt;0,LEN(Q$1)&gt;0)</formula>
    </cfRule>
  </conditionalFormatting>
  <conditionalFormatting sqref="Q16:U16">
    <cfRule type="expression" dxfId="65" priority="98">
      <formula>AND(LEN($A16)&gt;0,LEN(Q$1)&gt;0)</formula>
    </cfRule>
  </conditionalFormatting>
  <conditionalFormatting sqref="U20">
    <cfRule type="expression" dxfId="64" priority="93">
      <formula>AND(LEN($A20)&gt;0,LEN(U$1)&gt;0)</formula>
    </cfRule>
  </conditionalFormatting>
  <conditionalFormatting sqref="R17:U17">
    <cfRule type="expression" dxfId="63" priority="97">
      <formula>AND(LEN($A17)&gt;0,LEN(R$1)&gt;0)</formula>
    </cfRule>
  </conditionalFormatting>
  <conditionalFormatting sqref="R17:U17">
    <cfRule type="expression" dxfId="62" priority="96">
      <formula>AND(LEN($A17)&gt;0,LEN(R$1)&gt;0)</formula>
    </cfRule>
  </conditionalFormatting>
  <conditionalFormatting sqref="S18:U18">
    <cfRule type="expression" dxfId="61" priority="95">
      <formula>AND(LEN($A18)&gt;0,LEN(S$1)&gt;0)</formula>
    </cfRule>
  </conditionalFormatting>
  <conditionalFormatting sqref="T19:U19">
    <cfRule type="expression" dxfId="60" priority="94">
      <formula>AND(LEN($A19)&gt;0,LEN(T$1)&gt;0)</formula>
    </cfRule>
  </conditionalFormatting>
  <conditionalFormatting sqref="V1">
    <cfRule type="expression" dxfId="59" priority="87">
      <formula>LEN(V1)&gt;0</formula>
    </cfRule>
  </conditionalFormatting>
  <conditionalFormatting sqref="V22">
    <cfRule type="expression" dxfId="58" priority="86">
      <formula>LEN(V22)&gt;0</formula>
    </cfRule>
  </conditionalFormatting>
  <conditionalFormatting sqref="A22">
    <cfRule type="expression" dxfId="57" priority="85">
      <formula>LEN(A22)&gt;0</formula>
    </cfRule>
  </conditionalFormatting>
  <conditionalFormatting sqref="B22">
    <cfRule type="expression" dxfId="56" priority="84">
      <formula>LEN(B22)&gt;0</formula>
    </cfRule>
  </conditionalFormatting>
  <conditionalFormatting sqref="B23">
    <cfRule type="expression" dxfId="55" priority="83">
      <formula>LEN(B23)&gt;0</formula>
    </cfRule>
  </conditionalFormatting>
  <conditionalFormatting sqref="B24">
    <cfRule type="expression" dxfId="54" priority="82">
      <formula>LEN(B24)&gt;0</formula>
    </cfRule>
  </conditionalFormatting>
  <conditionalFormatting sqref="B25">
    <cfRule type="expression" dxfId="53" priority="81">
      <formula>LEN(B25)&gt;0</formula>
    </cfRule>
  </conditionalFormatting>
  <conditionalFormatting sqref="B26">
    <cfRule type="expression" dxfId="52" priority="80">
      <formula>LEN(B26)&gt;0</formula>
    </cfRule>
  </conditionalFormatting>
  <conditionalFormatting sqref="J2:O2">
    <cfRule type="expression" dxfId="51" priority="48">
      <formula>LEN(J2)&gt;0</formula>
    </cfRule>
  </conditionalFormatting>
  <conditionalFormatting sqref="J2:O2">
    <cfRule type="expression" dxfId="50" priority="47">
      <formula>AND(LEN($A2)&gt;0,LEN(J$1)&gt;0)</formula>
    </cfRule>
  </conditionalFormatting>
  <conditionalFormatting sqref="J3:O3">
    <cfRule type="expression" dxfId="49" priority="46">
      <formula>LEN(J3)&gt;0</formula>
    </cfRule>
  </conditionalFormatting>
  <conditionalFormatting sqref="J3:O3">
    <cfRule type="expression" dxfId="48" priority="45">
      <formula>AND(LEN($A3)&gt;0,LEN(J$1)&gt;0)</formula>
    </cfRule>
  </conditionalFormatting>
  <conditionalFormatting sqref="J4:O4">
    <cfRule type="expression" dxfId="47" priority="44">
      <formula>LEN(J4)&gt;0</formula>
    </cfRule>
  </conditionalFormatting>
  <conditionalFormatting sqref="J4:O4">
    <cfRule type="expression" dxfId="46" priority="43">
      <formula>AND(LEN($A4)&gt;0,LEN(J$1)&gt;0)</formula>
    </cfRule>
  </conditionalFormatting>
  <conditionalFormatting sqref="J5:O5">
    <cfRule type="expression" dxfId="45" priority="42">
      <formula>LEN(J5)&gt;0</formula>
    </cfRule>
  </conditionalFormatting>
  <conditionalFormatting sqref="J5:O5">
    <cfRule type="expression" dxfId="44" priority="41">
      <formula>AND(LEN($A5)&gt;0,LEN(J$1)&gt;0)</formula>
    </cfRule>
  </conditionalFormatting>
  <conditionalFormatting sqref="G6:O6">
    <cfRule type="expression" dxfId="43" priority="40">
      <formula>LEN(G6)&gt;0</formula>
    </cfRule>
  </conditionalFormatting>
  <conditionalFormatting sqref="G6:O6">
    <cfRule type="expression" dxfId="42" priority="39">
      <formula>AND(LEN($A6)&gt;0,LEN(G$1)&gt;0)</formula>
    </cfRule>
  </conditionalFormatting>
  <conditionalFormatting sqref="H7:O7">
    <cfRule type="expression" dxfId="41" priority="38">
      <formula>LEN(H7)&gt;0</formula>
    </cfRule>
  </conditionalFormatting>
  <conditionalFormatting sqref="H7:O7">
    <cfRule type="expression" dxfId="40" priority="37">
      <formula>AND(LEN($A7)&gt;0,LEN(H$1)&gt;0)</formula>
    </cfRule>
  </conditionalFormatting>
  <conditionalFormatting sqref="I8:O8">
    <cfRule type="expression" dxfId="39" priority="36">
      <formula>LEN(I8)&gt;0</formula>
    </cfRule>
  </conditionalFormatting>
  <conditionalFormatting sqref="I8:O8">
    <cfRule type="expression" dxfId="38" priority="35">
      <formula>AND(LEN($A8)&gt;0,LEN(I$1)&gt;0)</formula>
    </cfRule>
  </conditionalFormatting>
  <conditionalFormatting sqref="J9:O9">
    <cfRule type="expression" dxfId="37" priority="34">
      <formula>LEN(J9)&gt;0</formula>
    </cfRule>
  </conditionalFormatting>
  <conditionalFormatting sqref="J9:O9">
    <cfRule type="expression" dxfId="36" priority="33">
      <formula>AND(LEN($A9)&gt;0,LEN(J$1)&gt;0)</formula>
    </cfRule>
  </conditionalFormatting>
  <conditionalFormatting sqref="K10:O10">
    <cfRule type="expression" dxfId="35" priority="32">
      <formula>LEN(K10)&gt;0</formula>
    </cfRule>
  </conditionalFormatting>
  <conditionalFormatting sqref="K10:O10">
    <cfRule type="expression" dxfId="34" priority="31">
      <formula>AND(LEN($A10)&gt;0,LEN(K$1)&gt;0)</formula>
    </cfRule>
  </conditionalFormatting>
  <conditionalFormatting sqref="M11:N11">
    <cfRule type="expression" dxfId="33" priority="30">
      <formula>LEN(M11)&gt;0</formula>
    </cfRule>
  </conditionalFormatting>
  <conditionalFormatting sqref="M11:N11">
    <cfRule type="expression" dxfId="32" priority="29">
      <formula>AND(LEN($A11)&gt;0,LEN(M$1)&gt;0)</formula>
    </cfRule>
  </conditionalFormatting>
  <conditionalFormatting sqref="O11">
    <cfRule type="expression" dxfId="31" priority="28">
      <formula>LEN(O11)&gt;0</formula>
    </cfRule>
  </conditionalFormatting>
  <conditionalFormatting sqref="O11">
    <cfRule type="expression" dxfId="30" priority="27">
      <formula>AND(LEN($A11)&gt;0,LEN(O$1)&gt;0)</formula>
    </cfRule>
  </conditionalFormatting>
  <conditionalFormatting sqref="L11">
    <cfRule type="expression" dxfId="29" priority="26">
      <formula>LEN(L11)&gt;0</formula>
    </cfRule>
  </conditionalFormatting>
  <conditionalFormatting sqref="L11">
    <cfRule type="expression" dxfId="28" priority="25">
      <formula>AND(LEN($A11)&gt;0,LEN(L$1)&gt;0)</formula>
    </cfRule>
  </conditionalFormatting>
  <conditionalFormatting sqref="M12:O12">
    <cfRule type="expression" dxfId="27" priority="24">
      <formula>LEN(M12)&gt;0</formula>
    </cfRule>
  </conditionalFormatting>
  <conditionalFormatting sqref="M12:O12">
    <cfRule type="expression" dxfId="26" priority="23">
      <formula>AND(LEN($A12)&gt;0,LEN(M$1)&gt;0)</formula>
    </cfRule>
  </conditionalFormatting>
  <conditionalFormatting sqref="C2:I2">
    <cfRule type="expression" dxfId="25" priority="22">
      <formula>LEN(C2)&gt;0</formula>
    </cfRule>
  </conditionalFormatting>
  <conditionalFormatting sqref="C2">
    <cfRule type="expression" dxfId="24" priority="21">
      <formula>AND(LEN($A2)&gt;0,LEN(C$1)&gt;0)</formula>
    </cfRule>
  </conditionalFormatting>
  <conditionalFormatting sqref="D2">
    <cfRule type="expression" dxfId="23" priority="20">
      <formula>AND(LEN($A2)&gt;0,LEN(D$1)&gt;0)</formula>
    </cfRule>
  </conditionalFormatting>
  <conditionalFormatting sqref="E2">
    <cfRule type="expression" dxfId="22" priority="19">
      <formula>AND(LEN($A2)&gt;0,LEN(E$1)&gt;0)</formula>
    </cfRule>
  </conditionalFormatting>
  <conditionalFormatting sqref="E2:I2">
    <cfRule type="expression" dxfId="21" priority="18">
      <formula>AND(LEN($A2)&gt;0,LEN(E$1)&gt;0)</formula>
    </cfRule>
  </conditionalFormatting>
  <conditionalFormatting sqref="D3:I3">
    <cfRule type="expression" dxfId="20" priority="17">
      <formula>LEN(D3)&gt;0</formula>
    </cfRule>
  </conditionalFormatting>
  <conditionalFormatting sqref="E3">
    <cfRule type="expression" dxfId="19" priority="16">
      <formula>AND(LEN($A3)&gt;0,LEN(E$1)&gt;0)</formula>
    </cfRule>
  </conditionalFormatting>
  <conditionalFormatting sqref="E3:F3">
    <cfRule type="expression" dxfId="18" priority="15">
      <formula>AND(LEN($A3)&gt;0,LEN(E$1)&gt;0)</formula>
    </cfRule>
  </conditionalFormatting>
  <conditionalFormatting sqref="D3:I3">
    <cfRule type="expression" dxfId="17" priority="14">
      <formula>AND(LEN($A3)&gt;0,LEN(D$1)&gt;0)</formula>
    </cfRule>
  </conditionalFormatting>
  <conditionalFormatting sqref="E3:I3">
    <cfRule type="expression" dxfId="16" priority="13">
      <formula>AND(LEN($A3)&gt;0,LEN(E$1)&gt;0)</formula>
    </cfRule>
  </conditionalFormatting>
  <conditionalFormatting sqref="H3">
    <cfRule type="expression" dxfId="15" priority="12">
      <formula>AND(LEN($A3)&gt;0,LEN(H$1)&gt;0)</formula>
    </cfRule>
  </conditionalFormatting>
  <conditionalFormatting sqref="E4:I4">
    <cfRule type="expression" dxfId="14" priority="11">
      <formula>LEN(E4)&gt;0</formula>
    </cfRule>
  </conditionalFormatting>
  <conditionalFormatting sqref="E4">
    <cfRule type="expression" dxfId="13" priority="10">
      <formula>AND(LEN($A4)&gt;0,LEN(E$1)&gt;0)</formula>
    </cfRule>
  </conditionalFormatting>
  <conditionalFormatting sqref="E4:F4">
    <cfRule type="expression" dxfId="12" priority="9">
      <formula>AND(LEN($A4)&gt;0,LEN(E$1)&gt;0)</formula>
    </cfRule>
  </conditionalFormatting>
  <conditionalFormatting sqref="E4:I4">
    <cfRule type="expression" dxfId="11" priority="8">
      <formula>AND(LEN($A4)&gt;0,LEN(E$1)&gt;0)</formula>
    </cfRule>
  </conditionalFormatting>
  <conditionalFormatting sqref="E4:I4">
    <cfRule type="expression" dxfId="10" priority="7">
      <formula>AND(LEN($A4)&gt;0,LEN(E$1)&gt;0)</formula>
    </cfRule>
  </conditionalFormatting>
  <conditionalFormatting sqref="H4">
    <cfRule type="expression" dxfId="9" priority="6">
      <formula>AND(LEN($A4)&gt;0,LEN(H$1)&gt;0)</formula>
    </cfRule>
  </conditionalFormatting>
  <conditionalFormatting sqref="H4">
    <cfRule type="expression" dxfId="8" priority="5">
      <formula>AND(LEN($A4)&gt;0,LEN(H$1)&gt;0)</formula>
    </cfRule>
  </conditionalFormatting>
  <conditionalFormatting sqref="H4">
    <cfRule type="expression" dxfId="7" priority="4">
      <formula>AND(LEN($A4)&gt;0,LEN(H$1)&gt;0)</formula>
    </cfRule>
  </conditionalFormatting>
  <conditionalFormatting sqref="F5:I5">
    <cfRule type="expression" dxfId="6" priority="3">
      <formula>LEN(F5)&gt;0</formula>
    </cfRule>
  </conditionalFormatting>
  <conditionalFormatting sqref="F5:I5">
    <cfRule type="expression" dxfId="5" priority="2">
      <formula>AND(LEN($A5)&gt;0,LEN(F$1)&gt;0)</formula>
    </cfRule>
  </conditionalFormatting>
  <conditionalFormatting sqref="F5:I5">
    <cfRule type="expression" dxfId="4" priority="1">
      <formula>AND(LEN($A5)&gt;0,LEN(F$1)&gt;0)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E2AB2-927D-400E-94B0-04D0A42FF875}">
  <sheetPr codeName="Sheet8"/>
  <dimension ref="A1:W20"/>
  <sheetViews>
    <sheetView workbookViewId="0">
      <selection activeCell="K7" sqref="K7"/>
    </sheetView>
  </sheetViews>
  <sheetFormatPr defaultColWidth="0" defaultRowHeight="15" zeroHeight="1" x14ac:dyDescent="0.25"/>
  <cols>
    <col min="1" max="10" width="9.7109375" style="54" customWidth="1"/>
    <col min="11" max="11" width="9.140625" style="54" customWidth="1"/>
    <col min="12" max="23" width="0" style="54" hidden="1" customWidth="1"/>
    <col min="24" max="16384" width="9.140625" style="54" hidden="1"/>
  </cols>
  <sheetData>
    <row r="1" spans="1:11" ht="40.5" customHeight="1" x14ac:dyDescent="0.25">
      <c r="A1" s="119" t="s">
        <v>41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1" ht="40.5" customHeight="1" x14ac:dyDescent="0.25"/>
    <row r="3" spans="1:11" ht="40.5" customHeight="1" x14ac:dyDescent="0.25"/>
    <row r="4" spans="1:11" ht="40.5" customHeight="1" x14ac:dyDescent="0.25"/>
    <row r="5" spans="1:11" ht="40.5" customHeight="1" x14ac:dyDescent="0.25"/>
    <row r="6" spans="1:11" ht="40.5" customHeight="1" x14ac:dyDescent="0.25"/>
    <row r="7" spans="1:11" ht="40.5" customHeight="1" x14ac:dyDescent="0.25"/>
    <row r="8" spans="1:11" ht="40.5" customHeight="1" x14ac:dyDescent="0.25"/>
    <row r="9" spans="1:11" ht="40.5" customHeight="1" x14ac:dyDescent="0.25"/>
    <row r="10" spans="1:11" ht="40.5" hidden="1" customHeight="1" x14ac:dyDescent="0.25"/>
    <row r="11" spans="1:11" ht="40.5" hidden="1" customHeight="1" x14ac:dyDescent="0.25"/>
    <row r="12" spans="1:11" ht="40.5" hidden="1" customHeight="1" x14ac:dyDescent="0.25"/>
    <row r="13" spans="1:11" ht="40.5" hidden="1" customHeight="1" x14ac:dyDescent="0.25"/>
    <row r="14" spans="1:11" ht="40.5" hidden="1" customHeight="1" x14ac:dyDescent="0.25"/>
    <row r="15" spans="1:11" ht="40.5" hidden="1" customHeight="1" x14ac:dyDescent="0.25"/>
    <row r="16" spans="1:11" ht="40.5" hidden="1" customHeight="1" x14ac:dyDescent="0.25"/>
    <row r="17" ht="40.5" hidden="1" customHeight="1" x14ac:dyDescent="0.25"/>
    <row r="18" ht="40.5" hidden="1" customHeight="1" x14ac:dyDescent="0.25"/>
    <row r="19" ht="40.5" hidden="1" customHeight="1" x14ac:dyDescent="0.25"/>
    <row r="20" ht="40.5" hidden="1" customHeight="1" x14ac:dyDescent="0.25"/>
  </sheetData>
  <mergeCells count="1">
    <mergeCell ref="A1:K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SQI">
                <anchor moveWithCells="1">
                  <from>
                    <xdr:col>3</xdr:col>
                    <xdr:colOff>19050</xdr:colOff>
                    <xdr:row>2</xdr:row>
                    <xdr:rowOff>28575</xdr:rowOff>
                  </from>
                  <to>
                    <xdr:col>4</xdr:col>
                    <xdr:colOff>523875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5" name="Button 5">
              <controlPr defaultSize="0" print="0" autoFill="0" autoPict="0" macro="[0]!WUE">
                <anchor moveWithCells="1">
                  <from>
                    <xdr:col>5</xdr:col>
                    <xdr:colOff>95250</xdr:colOff>
                    <xdr:row>2</xdr:row>
                    <xdr:rowOff>38100</xdr:rowOff>
                  </from>
                  <to>
                    <xdr:col>6</xdr:col>
                    <xdr:colOff>600075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6" name="Button 6">
              <controlPr defaultSize="0" print="0" autoFill="0" autoPict="0" macro="[0]!Results">
                <anchor moveWithCells="1">
                  <from>
                    <xdr:col>7</xdr:col>
                    <xdr:colOff>180975</xdr:colOff>
                    <xdr:row>2</xdr:row>
                    <xdr:rowOff>38100</xdr:rowOff>
                  </from>
                  <to>
                    <xdr:col>9</xdr:col>
                    <xdr:colOff>38100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7" name="Button 7">
              <controlPr defaultSize="0" print="0" autoFill="0" autoPict="0" macro="[0]!Classification">
                <anchor moveWithCells="1">
                  <from>
                    <xdr:col>4</xdr:col>
                    <xdr:colOff>66675</xdr:colOff>
                    <xdr:row>3</xdr:row>
                    <xdr:rowOff>228600</xdr:rowOff>
                  </from>
                  <to>
                    <xdr:col>5</xdr:col>
                    <xdr:colOff>571500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8" name="Button 8">
              <controlPr defaultSize="0" print="0" autoFill="0" autoPict="0" macro="[0]!Visualization">
                <anchor moveWithCells="1">
                  <from>
                    <xdr:col>6</xdr:col>
                    <xdr:colOff>180975</xdr:colOff>
                    <xdr:row>3</xdr:row>
                    <xdr:rowOff>238125</xdr:rowOff>
                  </from>
                  <to>
                    <xdr:col>8</xdr:col>
                    <xdr:colOff>38100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9" name="Button 9">
              <controlPr defaultSize="0" print="0" autoFill="0" autoPict="0" macro="[0]!Main.Main">
                <anchor moveWithCells="1">
                  <from>
                    <xdr:col>5</xdr:col>
                    <xdr:colOff>114300</xdr:colOff>
                    <xdr:row>5</xdr:row>
                    <xdr:rowOff>161925</xdr:rowOff>
                  </from>
                  <to>
                    <xdr:col>6</xdr:col>
                    <xdr:colOff>619125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0" name="Button 10">
              <controlPr defaultSize="0" print="0" autoFill="0" autoPict="0" macro="[0]!cleanup">
                <anchor moveWithCells="1">
                  <from>
                    <xdr:col>5</xdr:col>
                    <xdr:colOff>104775</xdr:colOff>
                    <xdr:row>7</xdr:row>
                    <xdr:rowOff>28575</xdr:rowOff>
                  </from>
                  <to>
                    <xdr:col>6</xdr:col>
                    <xdr:colOff>609600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9EE1D-D4E7-42CD-B084-D0E489E7E6F8}">
  <sheetPr codeName="Sheet6"/>
  <dimension ref="A1:I1002"/>
  <sheetViews>
    <sheetView zoomScaleNormal="100" workbookViewId="0">
      <selection activeCell="A2" sqref="A2"/>
    </sheetView>
  </sheetViews>
  <sheetFormatPr defaultColWidth="0" defaultRowHeight="15" x14ac:dyDescent="0.25"/>
  <cols>
    <col min="1" max="1" width="6.85546875" bestFit="1" customWidth="1"/>
    <col min="2" max="2" width="23.140625" style="13" bestFit="1" customWidth="1"/>
    <col min="3" max="3" width="7" style="13" bestFit="1" customWidth="1"/>
    <col min="4" max="5" width="9.140625" customWidth="1"/>
    <col min="6" max="6" width="8.7109375" style="18" customWidth="1"/>
    <col min="7" max="7" width="62.7109375" style="19" customWidth="1"/>
    <col min="8" max="8" width="14.28515625" style="19" bestFit="1" customWidth="1"/>
    <col min="9" max="9" width="9.140625" customWidth="1"/>
    <col min="10" max="16384" width="9.140625" hidden="1"/>
  </cols>
  <sheetData>
    <row r="1" spans="1:8" ht="26.25" x14ac:dyDescent="0.25">
      <c r="A1" s="120" t="s">
        <v>50</v>
      </c>
      <c r="B1" s="120"/>
      <c r="C1" s="120"/>
      <c r="F1" s="120" t="s">
        <v>49</v>
      </c>
      <c r="G1" s="120"/>
      <c r="H1" s="120"/>
    </row>
    <row r="2" spans="1:8" ht="18.75" x14ac:dyDescent="0.25">
      <c r="A2" s="20" t="s">
        <v>7</v>
      </c>
      <c r="B2" s="20" t="s">
        <v>18</v>
      </c>
      <c r="C2" s="20" t="s">
        <v>19</v>
      </c>
      <c r="F2" s="20" t="s">
        <v>7</v>
      </c>
      <c r="G2" s="20" t="s">
        <v>18</v>
      </c>
      <c r="H2" s="20" t="s">
        <v>20</v>
      </c>
    </row>
    <row r="3" spans="1:8" x14ac:dyDescent="0.25">
      <c r="A3" s="22" t="str">
        <f>IF(LEN(B3)&gt;0,RANK(C3,C$3:C$1002,0),"")</f>
        <v/>
      </c>
      <c r="B3"/>
      <c r="C3"/>
      <c r="F3"/>
      <c r="G3" s="19" t="str">
        <f>IFERROR(VLOOKUP(F3,$A$3:$C$1002,2,FALSE),"")</f>
        <v/>
      </c>
      <c r="H3" s="19" t="str">
        <f>IFERROR(VLOOKUP(F3,$A$3:$C$1002,3,FALSE),"")</f>
        <v/>
      </c>
    </row>
    <row r="4" spans="1:8" x14ac:dyDescent="0.25">
      <c r="A4" s="22" t="str">
        <f>IF(LEN(B4)&gt;0,RANK(C4,C$3:C$1002,0),"")</f>
        <v/>
      </c>
      <c r="B4"/>
      <c r="C4"/>
      <c r="F4"/>
      <c r="G4" s="19" t="str">
        <f t="shared" ref="G4:G67" si="0">IFERROR(VLOOKUP(F4,$A$3:$C$1002,2,FALSE),"")</f>
        <v/>
      </c>
      <c r="H4" s="19" t="str">
        <f t="shared" ref="H4:H67" si="1">IFERROR(VLOOKUP(F4,$A$3:$C$1002,3,FALSE),"")</f>
        <v/>
      </c>
    </row>
    <row r="5" spans="1:8" x14ac:dyDescent="0.25">
      <c r="A5" s="21" t="str">
        <f t="shared" ref="A5:A68" si="2">IF(LEN(B5)&gt;0,RANK(C5,C$3:C$1002,0),"")</f>
        <v/>
      </c>
      <c r="B5"/>
      <c r="C5"/>
      <c r="F5"/>
      <c r="G5" s="19" t="str">
        <f t="shared" si="0"/>
        <v/>
      </c>
      <c r="H5" s="19" t="str">
        <f t="shared" si="1"/>
        <v/>
      </c>
    </row>
    <row r="6" spans="1:8" x14ac:dyDescent="0.25">
      <c r="A6" s="21" t="str">
        <f t="shared" si="2"/>
        <v/>
      </c>
      <c r="B6"/>
      <c r="C6"/>
      <c r="F6"/>
      <c r="G6" s="19" t="str">
        <f t="shared" si="0"/>
        <v/>
      </c>
      <c r="H6" s="19" t="str">
        <f t="shared" si="1"/>
        <v/>
      </c>
    </row>
    <row r="7" spans="1:8" x14ac:dyDescent="0.25">
      <c r="A7" s="21" t="str">
        <f t="shared" si="2"/>
        <v/>
      </c>
      <c r="B7"/>
      <c r="C7"/>
      <c r="F7"/>
      <c r="G7" s="19" t="str">
        <f t="shared" si="0"/>
        <v/>
      </c>
      <c r="H7" s="19" t="str">
        <f t="shared" si="1"/>
        <v/>
      </c>
    </row>
    <row r="8" spans="1:8" x14ac:dyDescent="0.25">
      <c r="A8" s="21" t="str">
        <f t="shared" si="2"/>
        <v/>
      </c>
      <c r="B8"/>
      <c r="C8"/>
      <c r="F8"/>
      <c r="G8" s="19" t="str">
        <f t="shared" si="0"/>
        <v/>
      </c>
      <c r="H8" s="19" t="str">
        <f t="shared" si="1"/>
        <v/>
      </c>
    </row>
    <row r="9" spans="1:8" x14ac:dyDescent="0.25">
      <c r="A9" s="21" t="str">
        <f t="shared" si="2"/>
        <v/>
      </c>
      <c r="B9"/>
      <c r="C9"/>
      <c r="F9"/>
      <c r="G9" s="19" t="str">
        <f t="shared" si="0"/>
        <v/>
      </c>
      <c r="H9" s="19" t="str">
        <f t="shared" si="1"/>
        <v/>
      </c>
    </row>
    <row r="10" spans="1:8" x14ac:dyDescent="0.25">
      <c r="A10" s="21" t="str">
        <f t="shared" si="2"/>
        <v/>
      </c>
      <c r="B10"/>
      <c r="C10"/>
      <c r="F10"/>
      <c r="G10" s="19" t="str">
        <f t="shared" si="0"/>
        <v/>
      </c>
      <c r="H10" s="19" t="str">
        <f t="shared" si="1"/>
        <v/>
      </c>
    </row>
    <row r="11" spans="1:8" x14ac:dyDescent="0.25">
      <c r="A11" s="21" t="str">
        <f t="shared" si="2"/>
        <v/>
      </c>
      <c r="B11"/>
      <c r="C11"/>
      <c r="F11"/>
      <c r="G11" s="19" t="str">
        <f t="shared" si="0"/>
        <v/>
      </c>
      <c r="H11" s="19" t="str">
        <f t="shared" si="1"/>
        <v/>
      </c>
    </row>
    <row r="12" spans="1:8" x14ac:dyDescent="0.25">
      <c r="A12" s="21" t="str">
        <f t="shared" si="2"/>
        <v/>
      </c>
      <c r="B12"/>
      <c r="C12"/>
      <c r="F12"/>
      <c r="G12" s="19" t="str">
        <f t="shared" si="0"/>
        <v/>
      </c>
      <c r="H12" s="19" t="str">
        <f t="shared" si="1"/>
        <v/>
      </c>
    </row>
    <row r="13" spans="1:8" x14ac:dyDescent="0.25">
      <c r="A13" s="21" t="str">
        <f t="shared" si="2"/>
        <v/>
      </c>
      <c r="B13"/>
      <c r="C13"/>
      <c r="F13"/>
      <c r="G13" s="19" t="str">
        <f t="shared" si="0"/>
        <v/>
      </c>
      <c r="H13" s="19" t="str">
        <f t="shared" si="1"/>
        <v/>
      </c>
    </row>
    <row r="14" spans="1:8" x14ac:dyDescent="0.25">
      <c r="A14" s="21" t="str">
        <f t="shared" si="2"/>
        <v/>
      </c>
      <c r="B14"/>
      <c r="C14"/>
      <c r="F14"/>
      <c r="G14" s="19" t="str">
        <f t="shared" si="0"/>
        <v/>
      </c>
      <c r="H14" s="19" t="str">
        <f t="shared" si="1"/>
        <v/>
      </c>
    </row>
    <row r="15" spans="1:8" x14ac:dyDescent="0.25">
      <c r="A15" s="21" t="str">
        <f t="shared" si="2"/>
        <v/>
      </c>
      <c r="B15"/>
      <c r="C15"/>
      <c r="F15"/>
      <c r="G15" s="19" t="str">
        <f t="shared" si="0"/>
        <v/>
      </c>
      <c r="H15" s="19" t="str">
        <f t="shared" si="1"/>
        <v/>
      </c>
    </row>
    <row r="16" spans="1:8" x14ac:dyDescent="0.25">
      <c r="A16" s="21" t="str">
        <f t="shared" si="2"/>
        <v/>
      </c>
      <c r="B16"/>
      <c r="C16"/>
      <c r="F16"/>
      <c r="G16" s="19" t="str">
        <f t="shared" si="0"/>
        <v/>
      </c>
      <c r="H16" s="19" t="str">
        <f t="shared" si="1"/>
        <v/>
      </c>
    </row>
    <row r="17" spans="1:8" x14ac:dyDescent="0.25">
      <c r="A17" s="21" t="str">
        <f t="shared" si="2"/>
        <v/>
      </c>
      <c r="B17"/>
      <c r="C17"/>
      <c r="F17"/>
      <c r="G17" s="19" t="str">
        <f t="shared" si="0"/>
        <v/>
      </c>
      <c r="H17" s="19" t="str">
        <f t="shared" si="1"/>
        <v/>
      </c>
    </row>
    <row r="18" spans="1:8" x14ac:dyDescent="0.25">
      <c r="A18" s="21" t="str">
        <f t="shared" si="2"/>
        <v/>
      </c>
      <c r="B18"/>
      <c r="C18"/>
      <c r="F18"/>
      <c r="G18" s="19" t="str">
        <f t="shared" si="0"/>
        <v/>
      </c>
      <c r="H18" s="19" t="str">
        <f t="shared" si="1"/>
        <v/>
      </c>
    </row>
    <row r="19" spans="1:8" x14ac:dyDescent="0.25">
      <c r="A19" s="21" t="str">
        <f t="shared" si="2"/>
        <v/>
      </c>
      <c r="B19"/>
      <c r="C19"/>
      <c r="F19"/>
      <c r="G19" s="19" t="str">
        <f t="shared" si="0"/>
        <v/>
      </c>
      <c r="H19" s="19" t="str">
        <f t="shared" si="1"/>
        <v/>
      </c>
    </row>
    <row r="20" spans="1:8" x14ac:dyDescent="0.25">
      <c r="A20" s="21" t="str">
        <f t="shared" si="2"/>
        <v/>
      </c>
      <c r="B20"/>
      <c r="C20"/>
      <c r="F20"/>
      <c r="G20" s="19" t="str">
        <f t="shared" si="0"/>
        <v/>
      </c>
      <c r="H20" s="19" t="str">
        <f t="shared" si="1"/>
        <v/>
      </c>
    </row>
    <row r="21" spans="1:8" x14ac:dyDescent="0.25">
      <c r="A21" s="21" t="str">
        <f t="shared" si="2"/>
        <v/>
      </c>
      <c r="B21"/>
      <c r="C21"/>
      <c r="F21"/>
      <c r="G21" s="19" t="str">
        <f t="shared" si="0"/>
        <v/>
      </c>
      <c r="H21" s="19" t="str">
        <f t="shared" si="1"/>
        <v/>
      </c>
    </row>
    <row r="22" spans="1:8" x14ac:dyDescent="0.25">
      <c r="A22" s="21" t="str">
        <f t="shared" si="2"/>
        <v/>
      </c>
      <c r="B22"/>
      <c r="C22"/>
      <c r="F22"/>
      <c r="G22" s="19" t="str">
        <f t="shared" si="0"/>
        <v/>
      </c>
      <c r="H22" s="19" t="str">
        <f t="shared" si="1"/>
        <v/>
      </c>
    </row>
    <row r="23" spans="1:8" x14ac:dyDescent="0.25">
      <c r="A23" s="21" t="str">
        <f t="shared" si="2"/>
        <v/>
      </c>
      <c r="B23"/>
      <c r="C23"/>
      <c r="F23"/>
      <c r="G23" s="19" t="str">
        <f t="shared" si="0"/>
        <v/>
      </c>
      <c r="H23" s="19" t="str">
        <f t="shared" si="1"/>
        <v/>
      </c>
    </row>
    <row r="24" spans="1:8" x14ac:dyDescent="0.25">
      <c r="A24" s="21" t="str">
        <f t="shared" si="2"/>
        <v/>
      </c>
      <c r="B24"/>
      <c r="C24"/>
      <c r="F24"/>
      <c r="G24" s="19" t="str">
        <f t="shared" si="0"/>
        <v/>
      </c>
      <c r="H24" s="19" t="str">
        <f t="shared" si="1"/>
        <v/>
      </c>
    </row>
    <row r="25" spans="1:8" x14ac:dyDescent="0.25">
      <c r="A25" s="21" t="str">
        <f t="shared" si="2"/>
        <v/>
      </c>
      <c r="B25"/>
      <c r="C25"/>
      <c r="F25"/>
      <c r="G25" s="19" t="str">
        <f t="shared" si="0"/>
        <v/>
      </c>
      <c r="H25" s="19" t="str">
        <f t="shared" si="1"/>
        <v/>
      </c>
    </row>
    <row r="26" spans="1:8" x14ac:dyDescent="0.25">
      <c r="A26" s="21" t="str">
        <f t="shared" si="2"/>
        <v/>
      </c>
      <c r="B26"/>
      <c r="C26"/>
      <c r="F26"/>
      <c r="G26" s="19" t="str">
        <f t="shared" si="0"/>
        <v/>
      </c>
      <c r="H26" s="19" t="str">
        <f t="shared" si="1"/>
        <v/>
      </c>
    </row>
    <row r="27" spans="1:8" x14ac:dyDescent="0.25">
      <c r="A27" s="21" t="str">
        <f t="shared" si="2"/>
        <v/>
      </c>
      <c r="B27"/>
      <c r="C27"/>
      <c r="F27"/>
      <c r="G27" s="19" t="str">
        <f t="shared" si="0"/>
        <v/>
      </c>
      <c r="H27" s="19" t="str">
        <f t="shared" si="1"/>
        <v/>
      </c>
    </row>
    <row r="28" spans="1:8" x14ac:dyDescent="0.25">
      <c r="A28" s="21" t="str">
        <f t="shared" si="2"/>
        <v/>
      </c>
      <c r="B28"/>
      <c r="C28"/>
      <c r="F28"/>
      <c r="G28" s="19" t="str">
        <f t="shared" si="0"/>
        <v/>
      </c>
      <c r="H28" s="19" t="str">
        <f t="shared" si="1"/>
        <v/>
      </c>
    </row>
    <row r="29" spans="1:8" x14ac:dyDescent="0.25">
      <c r="A29" s="21" t="str">
        <f t="shared" si="2"/>
        <v/>
      </c>
      <c r="B29"/>
      <c r="C29"/>
      <c r="F29"/>
      <c r="G29" s="19" t="str">
        <f t="shared" si="0"/>
        <v/>
      </c>
      <c r="H29" s="19" t="str">
        <f t="shared" si="1"/>
        <v/>
      </c>
    </row>
    <row r="30" spans="1:8" x14ac:dyDescent="0.25">
      <c r="A30" s="21" t="str">
        <f t="shared" si="2"/>
        <v/>
      </c>
      <c r="B30"/>
      <c r="C30"/>
      <c r="F30"/>
      <c r="G30" s="19" t="str">
        <f t="shared" si="0"/>
        <v/>
      </c>
      <c r="H30" s="19" t="str">
        <f t="shared" si="1"/>
        <v/>
      </c>
    </row>
    <row r="31" spans="1:8" x14ac:dyDescent="0.25">
      <c r="A31" s="21" t="str">
        <f t="shared" si="2"/>
        <v/>
      </c>
      <c r="B31"/>
      <c r="C31"/>
      <c r="F31"/>
      <c r="G31" s="19" t="str">
        <f t="shared" si="0"/>
        <v/>
      </c>
      <c r="H31" s="19" t="str">
        <f t="shared" si="1"/>
        <v/>
      </c>
    </row>
    <row r="32" spans="1:8" x14ac:dyDescent="0.25">
      <c r="A32" s="21" t="str">
        <f t="shared" si="2"/>
        <v/>
      </c>
      <c r="B32"/>
      <c r="C32"/>
      <c r="F32"/>
      <c r="G32" s="19" t="str">
        <f t="shared" si="0"/>
        <v/>
      </c>
      <c r="H32" s="19" t="str">
        <f t="shared" si="1"/>
        <v/>
      </c>
    </row>
    <row r="33" spans="1:8" x14ac:dyDescent="0.25">
      <c r="A33" s="21" t="str">
        <f t="shared" si="2"/>
        <v/>
      </c>
      <c r="B33"/>
      <c r="C33"/>
      <c r="F33"/>
      <c r="G33" s="19" t="str">
        <f t="shared" si="0"/>
        <v/>
      </c>
      <c r="H33" s="19" t="str">
        <f t="shared" si="1"/>
        <v/>
      </c>
    </row>
    <row r="34" spans="1:8" x14ac:dyDescent="0.25">
      <c r="A34" s="21" t="str">
        <f t="shared" si="2"/>
        <v/>
      </c>
      <c r="B34"/>
      <c r="C34"/>
      <c r="F34"/>
      <c r="G34" s="19" t="str">
        <f t="shared" si="0"/>
        <v/>
      </c>
      <c r="H34" s="19" t="str">
        <f t="shared" si="1"/>
        <v/>
      </c>
    </row>
    <row r="35" spans="1:8" x14ac:dyDescent="0.25">
      <c r="A35" s="21" t="str">
        <f t="shared" si="2"/>
        <v/>
      </c>
      <c r="B35"/>
      <c r="C35"/>
      <c r="F35"/>
      <c r="G35" s="19" t="str">
        <f t="shared" si="0"/>
        <v/>
      </c>
      <c r="H35" s="19" t="str">
        <f t="shared" si="1"/>
        <v/>
      </c>
    </row>
    <row r="36" spans="1:8" x14ac:dyDescent="0.25">
      <c r="A36" s="21" t="str">
        <f t="shared" si="2"/>
        <v/>
      </c>
      <c r="B36"/>
      <c r="C36"/>
      <c r="F36"/>
      <c r="G36" s="19" t="str">
        <f t="shared" si="0"/>
        <v/>
      </c>
      <c r="H36" s="19" t="str">
        <f t="shared" si="1"/>
        <v/>
      </c>
    </row>
    <row r="37" spans="1:8" x14ac:dyDescent="0.25">
      <c r="A37" s="21" t="str">
        <f t="shared" si="2"/>
        <v/>
      </c>
      <c r="B37"/>
      <c r="C37"/>
      <c r="F37"/>
      <c r="G37" s="19" t="str">
        <f t="shared" si="0"/>
        <v/>
      </c>
      <c r="H37" s="19" t="str">
        <f t="shared" si="1"/>
        <v/>
      </c>
    </row>
    <row r="38" spans="1:8" x14ac:dyDescent="0.25">
      <c r="A38" s="21" t="str">
        <f t="shared" si="2"/>
        <v/>
      </c>
      <c r="B38"/>
      <c r="C38"/>
      <c r="F38"/>
      <c r="G38" s="19" t="str">
        <f t="shared" si="0"/>
        <v/>
      </c>
      <c r="H38" s="19" t="str">
        <f t="shared" si="1"/>
        <v/>
      </c>
    </row>
    <row r="39" spans="1:8" x14ac:dyDescent="0.25">
      <c r="A39" s="21" t="str">
        <f t="shared" si="2"/>
        <v/>
      </c>
      <c r="B39"/>
      <c r="C39"/>
      <c r="F39"/>
      <c r="G39" s="19" t="str">
        <f t="shared" si="0"/>
        <v/>
      </c>
      <c r="H39" s="19" t="str">
        <f t="shared" si="1"/>
        <v/>
      </c>
    </row>
    <row r="40" spans="1:8" x14ac:dyDescent="0.25">
      <c r="A40" s="21" t="str">
        <f t="shared" si="2"/>
        <v/>
      </c>
      <c r="B40"/>
      <c r="C40"/>
      <c r="F40"/>
      <c r="G40" s="19" t="str">
        <f t="shared" si="0"/>
        <v/>
      </c>
      <c r="H40" s="19" t="str">
        <f t="shared" si="1"/>
        <v/>
      </c>
    </row>
    <row r="41" spans="1:8" x14ac:dyDescent="0.25">
      <c r="A41" s="21" t="str">
        <f t="shared" si="2"/>
        <v/>
      </c>
      <c r="B41"/>
      <c r="C41"/>
      <c r="F41"/>
      <c r="G41" s="19" t="str">
        <f t="shared" si="0"/>
        <v/>
      </c>
      <c r="H41" s="19" t="str">
        <f t="shared" si="1"/>
        <v/>
      </c>
    </row>
    <row r="42" spans="1:8" x14ac:dyDescent="0.25">
      <c r="A42" s="21" t="str">
        <f t="shared" si="2"/>
        <v/>
      </c>
      <c r="B42"/>
      <c r="C42"/>
      <c r="F42"/>
      <c r="G42" s="19" t="str">
        <f t="shared" si="0"/>
        <v/>
      </c>
      <c r="H42" s="19" t="str">
        <f t="shared" si="1"/>
        <v/>
      </c>
    </row>
    <row r="43" spans="1:8" x14ac:dyDescent="0.25">
      <c r="A43" s="21" t="str">
        <f t="shared" si="2"/>
        <v/>
      </c>
      <c r="B43"/>
      <c r="C43"/>
      <c r="F43"/>
      <c r="G43" s="19" t="str">
        <f t="shared" si="0"/>
        <v/>
      </c>
      <c r="H43" s="19" t="str">
        <f t="shared" si="1"/>
        <v/>
      </c>
    </row>
    <row r="44" spans="1:8" x14ac:dyDescent="0.25">
      <c r="A44" s="21" t="str">
        <f t="shared" si="2"/>
        <v/>
      </c>
      <c r="B44"/>
      <c r="C44"/>
      <c r="F44"/>
      <c r="G44" s="19" t="str">
        <f t="shared" si="0"/>
        <v/>
      </c>
      <c r="H44" s="19" t="str">
        <f t="shared" si="1"/>
        <v/>
      </c>
    </row>
    <row r="45" spans="1:8" x14ac:dyDescent="0.25">
      <c r="A45" s="21" t="str">
        <f t="shared" si="2"/>
        <v/>
      </c>
      <c r="B45"/>
      <c r="C45"/>
      <c r="F45"/>
      <c r="G45" s="19" t="str">
        <f t="shared" si="0"/>
        <v/>
      </c>
      <c r="H45" s="19" t="str">
        <f t="shared" si="1"/>
        <v/>
      </c>
    </row>
    <row r="46" spans="1:8" x14ac:dyDescent="0.25">
      <c r="A46" s="21" t="str">
        <f t="shared" si="2"/>
        <v/>
      </c>
      <c r="B46"/>
      <c r="C46"/>
      <c r="F46"/>
      <c r="G46" s="19" t="str">
        <f t="shared" si="0"/>
        <v/>
      </c>
      <c r="H46" s="19" t="str">
        <f t="shared" si="1"/>
        <v/>
      </c>
    </row>
    <row r="47" spans="1:8" x14ac:dyDescent="0.25">
      <c r="A47" s="21" t="str">
        <f t="shared" si="2"/>
        <v/>
      </c>
      <c r="B47"/>
      <c r="C47"/>
      <c r="F47"/>
      <c r="G47" s="19" t="str">
        <f t="shared" si="0"/>
        <v/>
      </c>
      <c r="H47" s="19" t="str">
        <f t="shared" si="1"/>
        <v/>
      </c>
    </row>
    <row r="48" spans="1:8" x14ac:dyDescent="0.25">
      <c r="A48" s="21" t="str">
        <f t="shared" si="2"/>
        <v/>
      </c>
      <c r="B48"/>
      <c r="C48"/>
      <c r="F48"/>
      <c r="G48" s="19" t="str">
        <f t="shared" si="0"/>
        <v/>
      </c>
      <c r="H48" s="19" t="str">
        <f t="shared" si="1"/>
        <v/>
      </c>
    </row>
    <row r="49" spans="1:8" x14ac:dyDescent="0.25">
      <c r="A49" s="21" t="str">
        <f t="shared" si="2"/>
        <v/>
      </c>
      <c r="B49"/>
      <c r="C49"/>
      <c r="F49"/>
      <c r="G49" s="19" t="str">
        <f t="shared" si="0"/>
        <v/>
      </c>
      <c r="H49" s="19" t="str">
        <f t="shared" si="1"/>
        <v/>
      </c>
    </row>
    <row r="50" spans="1:8" x14ac:dyDescent="0.25">
      <c r="A50" s="21" t="str">
        <f t="shared" si="2"/>
        <v/>
      </c>
      <c r="B50"/>
      <c r="C50"/>
      <c r="F50"/>
      <c r="G50" s="19" t="str">
        <f t="shared" si="0"/>
        <v/>
      </c>
      <c r="H50" s="19" t="str">
        <f t="shared" si="1"/>
        <v/>
      </c>
    </row>
    <row r="51" spans="1:8" x14ac:dyDescent="0.25">
      <c r="A51" s="21" t="str">
        <f t="shared" si="2"/>
        <v/>
      </c>
      <c r="B51"/>
      <c r="C51"/>
      <c r="F51"/>
      <c r="G51" s="19" t="str">
        <f t="shared" si="0"/>
        <v/>
      </c>
      <c r="H51" s="19" t="str">
        <f t="shared" si="1"/>
        <v/>
      </c>
    </row>
    <row r="52" spans="1:8" x14ac:dyDescent="0.25">
      <c r="A52" s="21" t="str">
        <f t="shared" si="2"/>
        <v/>
      </c>
      <c r="B52"/>
      <c r="C52"/>
      <c r="F52"/>
      <c r="G52" s="19" t="str">
        <f t="shared" si="0"/>
        <v/>
      </c>
      <c r="H52" s="19" t="str">
        <f t="shared" si="1"/>
        <v/>
      </c>
    </row>
    <row r="53" spans="1:8" x14ac:dyDescent="0.25">
      <c r="A53" s="21" t="str">
        <f t="shared" si="2"/>
        <v/>
      </c>
      <c r="B53"/>
      <c r="C53"/>
      <c r="F53"/>
      <c r="G53" s="19" t="str">
        <f t="shared" si="0"/>
        <v/>
      </c>
      <c r="H53" s="19" t="str">
        <f t="shared" si="1"/>
        <v/>
      </c>
    </row>
    <row r="54" spans="1:8" x14ac:dyDescent="0.25">
      <c r="A54" s="21" t="str">
        <f t="shared" si="2"/>
        <v/>
      </c>
      <c r="B54"/>
      <c r="C54"/>
      <c r="F54"/>
      <c r="G54" s="19" t="str">
        <f t="shared" si="0"/>
        <v/>
      </c>
      <c r="H54" s="19" t="str">
        <f t="shared" si="1"/>
        <v/>
      </c>
    </row>
    <row r="55" spans="1:8" x14ac:dyDescent="0.25">
      <c r="A55" s="21" t="str">
        <f t="shared" si="2"/>
        <v/>
      </c>
      <c r="B55"/>
      <c r="C55"/>
      <c r="F55"/>
      <c r="G55" s="19" t="str">
        <f t="shared" si="0"/>
        <v/>
      </c>
      <c r="H55" s="19" t="str">
        <f t="shared" si="1"/>
        <v/>
      </c>
    </row>
    <row r="56" spans="1:8" x14ac:dyDescent="0.25">
      <c r="A56" s="21" t="str">
        <f t="shared" si="2"/>
        <v/>
      </c>
      <c r="B56"/>
      <c r="C56"/>
      <c r="F56"/>
      <c r="G56" s="19" t="str">
        <f t="shared" si="0"/>
        <v/>
      </c>
      <c r="H56" s="19" t="str">
        <f t="shared" si="1"/>
        <v/>
      </c>
    </row>
    <row r="57" spans="1:8" x14ac:dyDescent="0.25">
      <c r="A57" s="21" t="str">
        <f t="shared" si="2"/>
        <v/>
      </c>
      <c r="B57"/>
      <c r="C57"/>
      <c r="F57"/>
      <c r="G57" s="19" t="str">
        <f t="shared" si="0"/>
        <v/>
      </c>
      <c r="H57" s="19" t="str">
        <f t="shared" si="1"/>
        <v/>
      </c>
    </row>
    <row r="58" spans="1:8" x14ac:dyDescent="0.25">
      <c r="A58" s="21" t="str">
        <f t="shared" si="2"/>
        <v/>
      </c>
      <c r="B58"/>
      <c r="C58"/>
      <c r="F58"/>
      <c r="G58" s="19" t="str">
        <f t="shared" si="0"/>
        <v/>
      </c>
      <c r="H58" s="19" t="str">
        <f t="shared" si="1"/>
        <v/>
      </c>
    </row>
    <row r="59" spans="1:8" x14ac:dyDescent="0.25">
      <c r="A59" s="21" t="str">
        <f t="shared" si="2"/>
        <v/>
      </c>
      <c r="B59"/>
      <c r="C59"/>
      <c r="F59"/>
      <c r="G59" s="19" t="str">
        <f t="shared" si="0"/>
        <v/>
      </c>
      <c r="H59" s="19" t="str">
        <f t="shared" si="1"/>
        <v/>
      </c>
    </row>
    <row r="60" spans="1:8" x14ac:dyDescent="0.25">
      <c r="A60" s="21" t="str">
        <f t="shared" si="2"/>
        <v/>
      </c>
      <c r="B60"/>
      <c r="C60"/>
      <c r="F60"/>
      <c r="G60" s="19" t="str">
        <f t="shared" si="0"/>
        <v/>
      </c>
      <c r="H60" s="19" t="str">
        <f t="shared" si="1"/>
        <v/>
      </c>
    </row>
    <row r="61" spans="1:8" x14ac:dyDescent="0.25">
      <c r="A61" s="21" t="str">
        <f t="shared" si="2"/>
        <v/>
      </c>
      <c r="B61"/>
      <c r="C61"/>
      <c r="F61"/>
      <c r="G61" s="19" t="str">
        <f t="shared" si="0"/>
        <v/>
      </c>
      <c r="H61" s="19" t="str">
        <f t="shared" si="1"/>
        <v/>
      </c>
    </row>
    <row r="62" spans="1:8" x14ac:dyDescent="0.25">
      <c r="A62" s="21" t="str">
        <f t="shared" si="2"/>
        <v/>
      </c>
      <c r="B62"/>
      <c r="C62"/>
      <c r="F62"/>
      <c r="G62" s="19" t="str">
        <f t="shared" si="0"/>
        <v/>
      </c>
      <c r="H62" s="19" t="str">
        <f t="shared" si="1"/>
        <v/>
      </c>
    </row>
    <row r="63" spans="1:8" x14ac:dyDescent="0.25">
      <c r="A63" s="21" t="str">
        <f t="shared" si="2"/>
        <v/>
      </c>
      <c r="B63"/>
      <c r="C63"/>
      <c r="F63"/>
      <c r="G63" s="19" t="str">
        <f t="shared" si="0"/>
        <v/>
      </c>
      <c r="H63" s="19" t="str">
        <f t="shared" si="1"/>
        <v/>
      </c>
    </row>
    <row r="64" spans="1:8" x14ac:dyDescent="0.25">
      <c r="A64" s="21" t="str">
        <f t="shared" si="2"/>
        <v/>
      </c>
      <c r="B64"/>
      <c r="C64"/>
      <c r="F64"/>
      <c r="G64" s="19" t="str">
        <f t="shared" si="0"/>
        <v/>
      </c>
      <c r="H64" s="19" t="str">
        <f t="shared" si="1"/>
        <v/>
      </c>
    </row>
    <row r="65" spans="1:8" x14ac:dyDescent="0.25">
      <c r="A65" s="21" t="str">
        <f t="shared" si="2"/>
        <v/>
      </c>
      <c r="B65"/>
      <c r="C65"/>
      <c r="F65"/>
      <c r="G65" s="19" t="str">
        <f t="shared" si="0"/>
        <v/>
      </c>
      <c r="H65" s="19" t="str">
        <f t="shared" si="1"/>
        <v/>
      </c>
    </row>
    <row r="66" spans="1:8" x14ac:dyDescent="0.25">
      <c r="A66" s="21" t="str">
        <f t="shared" si="2"/>
        <v/>
      </c>
      <c r="B66"/>
      <c r="C66"/>
      <c r="F66"/>
      <c r="G66" s="19" t="str">
        <f t="shared" si="0"/>
        <v/>
      </c>
      <c r="H66" s="19" t="str">
        <f t="shared" si="1"/>
        <v/>
      </c>
    </row>
    <row r="67" spans="1:8" x14ac:dyDescent="0.25">
      <c r="A67" s="21" t="str">
        <f t="shared" si="2"/>
        <v/>
      </c>
      <c r="B67"/>
      <c r="C67"/>
      <c r="F67"/>
      <c r="G67" s="19" t="str">
        <f t="shared" si="0"/>
        <v/>
      </c>
      <c r="H67" s="19" t="str">
        <f t="shared" si="1"/>
        <v/>
      </c>
    </row>
    <row r="68" spans="1:8" x14ac:dyDescent="0.25">
      <c r="A68" s="21" t="str">
        <f t="shared" si="2"/>
        <v/>
      </c>
      <c r="B68"/>
      <c r="C68"/>
      <c r="F68"/>
      <c r="G68" s="19" t="str">
        <f t="shared" ref="G68:G131" si="3">IFERROR(VLOOKUP(F68,$A$3:$C$1002,2,FALSE),"")</f>
        <v/>
      </c>
      <c r="H68" s="19" t="str">
        <f t="shared" ref="H68:H131" si="4">IFERROR(VLOOKUP(F68,$A$3:$C$1002,3,FALSE),"")</f>
        <v/>
      </c>
    </row>
    <row r="69" spans="1:8" x14ac:dyDescent="0.25">
      <c r="A69" s="21" t="str">
        <f t="shared" ref="A69:A132" si="5">IF(LEN(B69)&gt;0,RANK(C69,C$3:C$1002,0),"")</f>
        <v/>
      </c>
      <c r="B69"/>
      <c r="C69"/>
      <c r="F69"/>
      <c r="G69" s="19" t="str">
        <f t="shared" si="3"/>
        <v/>
      </c>
      <c r="H69" s="19" t="str">
        <f t="shared" si="4"/>
        <v/>
      </c>
    </row>
    <row r="70" spans="1:8" x14ac:dyDescent="0.25">
      <c r="A70" s="21" t="str">
        <f t="shared" si="5"/>
        <v/>
      </c>
      <c r="B70"/>
      <c r="C70"/>
      <c r="F70"/>
      <c r="G70" s="19" t="str">
        <f t="shared" si="3"/>
        <v/>
      </c>
      <c r="H70" s="19" t="str">
        <f t="shared" si="4"/>
        <v/>
      </c>
    </row>
    <row r="71" spans="1:8" x14ac:dyDescent="0.25">
      <c r="A71" s="21" t="str">
        <f t="shared" si="5"/>
        <v/>
      </c>
      <c r="B71"/>
      <c r="C71"/>
      <c r="F71"/>
      <c r="G71" s="19" t="str">
        <f t="shared" si="3"/>
        <v/>
      </c>
      <c r="H71" s="19" t="str">
        <f t="shared" si="4"/>
        <v/>
      </c>
    </row>
    <row r="72" spans="1:8" x14ac:dyDescent="0.25">
      <c r="A72" s="21" t="str">
        <f t="shared" si="5"/>
        <v/>
      </c>
      <c r="B72"/>
      <c r="C72"/>
      <c r="F72"/>
      <c r="G72" s="19" t="str">
        <f t="shared" si="3"/>
        <v/>
      </c>
      <c r="H72" s="19" t="str">
        <f t="shared" si="4"/>
        <v/>
      </c>
    </row>
    <row r="73" spans="1:8" x14ac:dyDescent="0.25">
      <c r="A73" s="21" t="str">
        <f t="shared" si="5"/>
        <v/>
      </c>
      <c r="B73"/>
      <c r="C73"/>
      <c r="F73"/>
      <c r="G73" s="19" t="str">
        <f t="shared" si="3"/>
        <v/>
      </c>
      <c r="H73" s="19" t="str">
        <f t="shared" si="4"/>
        <v/>
      </c>
    </row>
    <row r="74" spans="1:8" x14ac:dyDescent="0.25">
      <c r="A74" s="21" t="str">
        <f t="shared" si="5"/>
        <v/>
      </c>
      <c r="B74"/>
      <c r="C74"/>
      <c r="F74"/>
      <c r="G74" s="19" t="str">
        <f t="shared" si="3"/>
        <v/>
      </c>
      <c r="H74" s="19" t="str">
        <f t="shared" si="4"/>
        <v/>
      </c>
    </row>
    <row r="75" spans="1:8" x14ac:dyDescent="0.25">
      <c r="A75" s="21" t="str">
        <f t="shared" si="5"/>
        <v/>
      </c>
      <c r="B75"/>
      <c r="C75"/>
      <c r="F75"/>
      <c r="G75" s="19" t="str">
        <f t="shared" si="3"/>
        <v/>
      </c>
      <c r="H75" s="19" t="str">
        <f t="shared" si="4"/>
        <v/>
      </c>
    </row>
    <row r="76" spans="1:8" x14ac:dyDescent="0.25">
      <c r="A76" s="21" t="str">
        <f t="shared" si="5"/>
        <v/>
      </c>
      <c r="B76"/>
      <c r="C76"/>
      <c r="F76"/>
      <c r="G76" s="19" t="str">
        <f t="shared" si="3"/>
        <v/>
      </c>
      <c r="H76" s="19" t="str">
        <f t="shared" si="4"/>
        <v/>
      </c>
    </row>
    <row r="77" spans="1:8" x14ac:dyDescent="0.25">
      <c r="A77" s="21" t="str">
        <f t="shared" si="5"/>
        <v/>
      </c>
      <c r="B77"/>
      <c r="C77"/>
      <c r="F77"/>
      <c r="G77" s="19" t="str">
        <f t="shared" si="3"/>
        <v/>
      </c>
      <c r="H77" s="19" t="str">
        <f t="shared" si="4"/>
        <v/>
      </c>
    </row>
    <row r="78" spans="1:8" x14ac:dyDescent="0.25">
      <c r="A78" s="21" t="str">
        <f t="shared" si="5"/>
        <v/>
      </c>
      <c r="B78"/>
      <c r="C78"/>
      <c r="F78"/>
      <c r="G78" s="19" t="str">
        <f t="shared" si="3"/>
        <v/>
      </c>
      <c r="H78" s="19" t="str">
        <f t="shared" si="4"/>
        <v/>
      </c>
    </row>
    <row r="79" spans="1:8" x14ac:dyDescent="0.25">
      <c r="A79" s="21" t="str">
        <f t="shared" si="5"/>
        <v/>
      </c>
      <c r="B79"/>
      <c r="C79"/>
      <c r="F79"/>
      <c r="G79" s="19" t="str">
        <f t="shared" si="3"/>
        <v/>
      </c>
      <c r="H79" s="19" t="str">
        <f t="shared" si="4"/>
        <v/>
      </c>
    </row>
    <row r="80" spans="1:8" x14ac:dyDescent="0.25">
      <c r="A80" s="21" t="str">
        <f t="shared" si="5"/>
        <v/>
      </c>
      <c r="B80"/>
      <c r="C80"/>
      <c r="F80"/>
      <c r="G80" s="19" t="str">
        <f t="shared" si="3"/>
        <v/>
      </c>
      <c r="H80" s="19" t="str">
        <f t="shared" si="4"/>
        <v/>
      </c>
    </row>
    <row r="81" spans="1:8" x14ac:dyDescent="0.25">
      <c r="A81" s="21" t="str">
        <f t="shared" si="5"/>
        <v/>
      </c>
      <c r="B81"/>
      <c r="C81"/>
      <c r="F81"/>
      <c r="G81" s="19" t="str">
        <f t="shared" si="3"/>
        <v/>
      </c>
      <c r="H81" s="19" t="str">
        <f t="shared" si="4"/>
        <v/>
      </c>
    </row>
    <row r="82" spans="1:8" x14ac:dyDescent="0.25">
      <c r="A82" s="21" t="str">
        <f t="shared" si="5"/>
        <v/>
      </c>
      <c r="B82"/>
      <c r="C82"/>
      <c r="F82"/>
      <c r="G82" s="19" t="str">
        <f t="shared" si="3"/>
        <v/>
      </c>
      <c r="H82" s="19" t="str">
        <f t="shared" si="4"/>
        <v/>
      </c>
    </row>
    <row r="83" spans="1:8" x14ac:dyDescent="0.25">
      <c r="A83" s="21" t="str">
        <f t="shared" si="5"/>
        <v/>
      </c>
      <c r="B83"/>
      <c r="C83"/>
      <c r="F83"/>
      <c r="G83" s="19" t="str">
        <f t="shared" si="3"/>
        <v/>
      </c>
      <c r="H83" s="19" t="str">
        <f t="shared" si="4"/>
        <v/>
      </c>
    </row>
    <row r="84" spans="1:8" x14ac:dyDescent="0.25">
      <c r="A84" s="21" t="str">
        <f t="shared" si="5"/>
        <v/>
      </c>
      <c r="B84"/>
      <c r="C84"/>
      <c r="F84"/>
      <c r="G84" s="19" t="str">
        <f t="shared" si="3"/>
        <v/>
      </c>
      <c r="H84" s="19" t="str">
        <f t="shared" si="4"/>
        <v/>
      </c>
    </row>
    <row r="85" spans="1:8" x14ac:dyDescent="0.25">
      <c r="A85" s="21" t="str">
        <f t="shared" si="5"/>
        <v/>
      </c>
      <c r="B85"/>
      <c r="C85"/>
      <c r="F85"/>
      <c r="G85" s="19" t="str">
        <f t="shared" si="3"/>
        <v/>
      </c>
      <c r="H85" s="19" t="str">
        <f t="shared" si="4"/>
        <v/>
      </c>
    </row>
    <row r="86" spans="1:8" x14ac:dyDescent="0.25">
      <c r="A86" s="21" t="str">
        <f t="shared" si="5"/>
        <v/>
      </c>
      <c r="B86"/>
      <c r="C86"/>
      <c r="F86"/>
      <c r="G86" s="19" t="str">
        <f t="shared" si="3"/>
        <v/>
      </c>
      <c r="H86" s="19" t="str">
        <f t="shared" si="4"/>
        <v/>
      </c>
    </row>
    <row r="87" spans="1:8" x14ac:dyDescent="0.25">
      <c r="A87" s="21" t="str">
        <f t="shared" si="5"/>
        <v/>
      </c>
      <c r="B87"/>
      <c r="C87"/>
      <c r="F87"/>
      <c r="G87" s="19" t="str">
        <f t="shared" si="3"/>
        <v/>
      </c>
      <c r="H87" s="19" t="str">
        <f t="shared" si="4"/>
        <v/>
      </c>
    </row>
    <row r="88" spans="1:8" x14ac:dyDescent="0.25">
      <c r="A88" s="21" t="str">
        <f t="shared" si="5"/>
        <v/>
      </c>
      <c r="B88"/>
      <c r="C88"/>
      <c r="F88"/>
      <c r="G88" s="19" t="str">
        <f t="shared" si="3"/>
        <v/>
      </c>
      <c r="H88" s="19" t="str">
        <f t="shared" si="4"/>
        <v/>
      </c>
    </row>
    <row r="89" spans="1:8" x14ac:dyDescent="0.25">
      <c r="A89" s="21" t="str">
        <f t="shared" si="5"/>
        <v/>
      </c>
      <c r="B89"/>
      <c r="C89"/>
      <c r="F89"/>
      <c r="G89" s="19" t="str">
        <f t="shared" si="3"/>
        <v/>
      </c>
      <c r="H89" s="19" t="str">
        <f t="shared" si="4"/>
        <v/>
      </c>
    </row>
    <row r="90" spans="1:8" x14ac:dyDescent="0.25">
      <c r="A90" s="21" t="str">
        <f t="shared" si="5"/>
        <v/>
      </c>
      <c r="B90"/>
      <c r="C90"/>
      <c r="F90"/>
      <c r="G90" s="19" t="str">
        <f t="shared" si="3"/>
        <v/>
      </c>
      <c r="H90" s="19" t="str">
        <f t="shared" si="4"/>
        <v/>
      </c>
    </row>
    <row r="91" spans="1:8" x14ac:dyDescent="0.25">
      <c r="A91" s="21" t="str">
        <f t="shared" si="5"/>
        <v/>
      </c>
      <c r="B91"/>
      <c r="C91"/>
      <c r="F91"/>
      <c r="G91" s="19" t="str">
        <f t="shared" si="3"/>
        <v/>
      </c>
      <c r="H91" s="19" t="str">
        <f t="shared" si="4"/>
        <v/>
      </c>
    </row>
    <row r="92" spans="1:8" x14ac:dyDescent="0.25">
      <c r="A92" s="21" t="str">
        <f t="shared" si="5"/>
        <v/>
      </c>
      <c r="B92"/>
      <c r="C92"/>
      <c r="F92"/>
      <c r="G92" s="19" t="str">
        <f t="shared" si="3"/>
        <v/>
      </c>
      <c r="H92" s="19" t="str">
        <f t="shared" si="4"/>
        <v/>
      </c>
    </row>
    <row r="93" spans="1:8" x14ac:dyDescent="0.25">
      <c r="A93" s="21" t="str">
        <f t="shared" si="5"/>
        <v/>
      </c>
      <c r="B93"/>
      <c r="C93"/>
      <c r="F93"/>
      <c r="G93" s="19" t="str">
        <f t="shared" si="3"/>
        <v/>
      </c>
      <c r="H93" s="19" t="str">
        <f t="shared" si="4"/>
        <v/>
      </c>
    </row>
    <row r="94" spans="1:8" x14ac:dyDescent="0.25">
      <c r="A94" s="21" t="str">
        <f t="shared" si="5"/>
        <v/>
      </c>
      <c r="B94"/>
      <c r="C94"/>
      <c r="F94"/>
      <c r="G94" s="19" t="str">
        <f t="shared" si="3"/>
        <v/>
      </c>
      <c r="H94" s="19" t="str">
        <f t="shared" si="4"/>
        <v/>
      </c>
    </row>
    <row r="95" spans="1:8" x14ac:dyDescent="0.25">
      <c r="A95" s="21" t="str">
        <f t="shared" si="5"/>
        <v/>
      </c>
      <c r="B95"/>
      <c r="C95"/>
      <c r="F95"/>
      <c r="G95" s="19" t="str">
        <f t="shared" si="3"/>
        <v/>
      </c>
      <c r="H95" s="19" t="str">
        <f t="shared" si="4"/>
        <v/>
      </c>
    </row>
    <row r="96" spans="1:8" x14ac:dyDescent="0.25">
      <c r="A96" s="21" t="str">
        <f t="shared" si="5"/>
        <v/>
      </c>
      <c r="B96"/>
      <c r="C96"/>
      <c r="F96"/>
      <c r="G96" s="19" t="str">
        <f t="shared" si="3"/>
        <v/>
      </c>
      <c r="H96" s="19" t="str">
        <f t="shared" si="4"/>
        <v/>
      </c>
    </row>
    <row r="97" spans="1:8" x14ac:dyDescent="0.25">
      <c r="A97" s="21" t="str">
        <f t="shared" si="5"/>
        <v/>
      </c>
      <c r="B97"/>
      <c r="C97"/>
      <c r="F97"/>
      <c r="G97" s="19" t="str">
        <f t="shared" si="3"/>
        <v/>
      </c>
      <c r="H97" s="19" t="str">
        <f t="shared" si="4"/>
        <v/>
      </c>
    </row>
    <row r="98" spans="1:8" x14ac:dyDescent="0.25">
      <c r="A98" s="21" t="str">
        <f t="shared" si="5"/>
        <v/>
      </c>
      <c r="B98"/>
      <c r="C98"/>
      <c r="F98"/>
      <c r="G98" s="19" t="str">
        <f t="shared" si="3"/>
        <v/>
      </c>
      <c r="H98" s="19" t="str">
        <f t="shared" si="4"/>
        <v/>
      </c>
    </row>
    <row r="99" spans="1:8" x14ac:dyDescent="0.25">
      <c r="A99" s="21" t="str">
        <f t="shared" si="5"/>
        <v/>
      </c>
      <c r="B99"/>
      <c r="C99"/>
      <c r="F99"/>
      <c r="G99" s="19" t="str">
        <f t="shared" si="3"/>
        <v/>
      </c>
      <c r="H99" s="19" t="str">
        <f t="shared" si="4"/>
        <v/>
      </c>
    </row>
    <row r="100" spans="1:8" x14ac:dyDescent="0.25">
      <c r="A100" s="21" t="str">
        <f t="shared" si="5"/>
        <v/>
      </c>
      <c r="B100"/>
      <c r="C100"/>
      <c r="F100"/>
      <c r="G100" s="19" t="str">
        <f t="shared" si="3"/>
        <v/>
      </c>
      <c r="H100" s="19" t="str">
        <f t="shared" si="4"/>
        <v/>
      </c>
    </row>
    <row r="101" spans="1:8" x14ac:dyDescent="0.25">
      <c r="A101" s="21" t="str">
        <f t="shared" si="5"/>
        <v/>
      </c>
      <c r="B101"/>
      <c r="C101"/>
      <c r="F101"/>
      <c r="G101" s="19" t="str">
        <f t="shared" si="3"/>
        <v/>
      </c>
      <c r="H101" s="19" t="str">
        <f t="shared" si="4"/>
        <v/>
      </c>
    </row>
    <row r="102" spans="1:8" x14ac:dyDescent="0.25">
      <c r="A102" s="21" t="str">
        <f t="shared" si="5"/>
        <v/>
      </c>
      <c r="B102"/>
      <c r="C102"/>
      <c r="F102"/>
      <c r="G102" s="19" t="str">
        <f t="shared" si="3"/>
        <v/>
      </c>
      <c r="H102" s="19" t="str">
        <f t="shared" si="4"/>
        <v/>
      </c>
    </row>
    <row r="103" spans="1:8" x14ac:dyDescent="0.25">
      <c r="A103" s="21" t="str">
        <f t="shared" si="5"/>
        <v/>
      </c>
      <c r="B103"/>
      <c r="C103"/>
      <c r="F103"/>
      <c r="G103" s="19" t="str">
        <f t="shared" si="3"/>
        <v/>
      </c>
      <c r="H103" s="19" t="str">
        <f t="shared" si="4"/>
        <v/>
      </c>
    </row>
    <row r="104" spans="1:8" x14ac:dyDescent="0.25">
      <c r="A104" s="21" t="str">
        <f t="shared" si="5"/>
        <v/>
      </c>
      <c r="B104"/>
      <c r="C104"/>
      <c r="F104"/>
      <c r="G104" s="19" t="str">
        <f t="shared" si="3"/>
        <v/>
      </c>
      <c r="H104" s="19" t="str">
        <f t="shared" si="4"/>
        <v/>
      </c>
    </row>
    <row r="105" spans="1:8" x14ac:dyDescent="0.25">
      <c r="A105" s="21" t="str">
        <f t="shared" si="5"/>
        <v/>
      </c>
      <c r="B105"/>
      <c r="C105"/>
      <c r="F105"/>
      <c r="G105" s="19" t="str">
        <f t="shared" si="3"/>
        <v/>
      </c>
      <c r="H105" s="19" t="str">
        <f t="shared" si="4"/>
        <v/>
      </c>
    </row>
    <row r="106" spans="1:8" x14ac:dyDescent="0.25">
      <c r="A106" s="21" t="str">
        <f t="shared" si="5"/>
        <v/>
      </c>
      <c r="B106"/>
      <c r="C106"/>
      <c r="F106"/>
      <c r="G106" s="19" t="str">
        <f t="shared" si="3"/>
        <v/>
      </c>
      <c r="H106" s="19" t="str">
        <f t="shared" si="4"/>
        <v/>
      </c>
    </row>
    <row r="107" spans="1:8" x14ac:dyDescent="0.25">
      <c r="A107" s="21" t="str">
        <f t="shared" si="5"/>
        <v/>
      </c>
      <c r="B107"/>
      <c r="C107"/>
      <c r="F107"/>
      <c r="G107" s="19" t="str">
        <f t="shared" si="3"/>
        <v/>
      </c>
      <c r="H107" s="19" t="str">
        <f t="shared" si="4"/>
        <v/>
      </c>
    </row>
    <row r="108" spans="1:8" x14ac:dyDescent="0.25">
      <c r="A108" s="21" t="str">
        <f t="shared" si="5"/>
        <v/>
      </c>
      <c r="B108"/>
      <c r="C108"/>
      <c r="F108"/>
      <c r="G108" s="19" t="str">
        <f t="shared" si="3"/>
        <v/>
      </c>
      <c r="H108" s="19" t="str">
        <f t="shared" si="4"/>
        <v/>
      </c>
    </row>
    <row r="109" spans="1:8" x14ac:dyDescent="0.25">
      <c r="A109" s="21" t="str">
        <f t="shared" si="5"/>
        <v/>
      </c>
      <c r="B109"/>
      <c r="C109"/>
      <c r="F109"/>
      <c r="G109" s="19" t="str">
        <f t="shared" si="3"/>
        <v/>
      </c>
      <c r="H109" s="19" t="str">
        <f t="shared" si="4"/>
        <v/>
      </c>
    </row>
    <row r="110" spans="1:8" x14ac:dyDescent="0.25">
      <c r="A110" s="21" t="str">
        <f t="shared" si="5"/>
        <v/>
      </c>
      <c r="B110"/>
      <c r="C110"/>
      <c r="F110"/>
      <c r="G110" s="19" t="str">
        <f t="shared" si="3"/>
        <v/>
      </c>
      <c r="H110" s="19" t="str">
        <f t="shared" si="4"/>
        <v/>
      </c>
    </row>
    <row r="111" spans="1:8" x14ac:dyDescent="0.25">
      <c r="A111" s="21" t="str">
        <f t="shared" si="5"/>
        <v/>
      </c>
      <c r="B111"/>
      <c r="C111"/>
      <c r="F111"/>
      <c r="G111" s="19" t="str">
        <f t="shared" si="3"/>
        <v/>
      </c>
      <c r="H111" s="19" t="str">
        <f t="shared" si="4"/>
        <v/>
      </c>
    </row>
    <row r="112" spans="1:8" x14ac:dyDescent="0.25">
      <c r="A112" s="21" t="str">
        <f t="shared" si="5"/>
        <v/>
      </c>
      <c r="B112"/>
      <c r="C112"/>
      <c r="F112"/>
      <c r="G112" s="19" t="str">
        <f t="shared" si="3"/>
        <v/>
      </c>
      <c r="H112" s="19" t="str">
        <f t="shared" si="4"/>
        <v/>
      </c>
    </row>
    <row r="113" spans="1:8" x14ac:dyDescent="0.25">
      <c r="A113" s="21" t="str">
        <f t="shared" si="5"/>
        <v/>
      </c>
      <c r="B113"/>
      <c r="C113"/>
      <c r="F113"/>
      <c r="G113" s="19" t="str">
        <f t="shared" si="3"/>
        <v/>
      </c>
      <c r="H113" s="19" t="str">
        <f t="shared" si="4"/>
        <v/>
      </c>
    </row>
    <row r="114" spans="1:8" x14ac:dyDescent="0.25">
      <c r="A114" s="21" t="str">
        <f t="shared" si="5"/>
        <v/>
      </c>
      <c r="B114"/>
      <c r="C114"/>
      <c r="F114"/>
      <c r="G114" s="19" t="str">
        <f t="shared" si="3"/>
        <v/>
      </c>
      <c r="H114" s="19" t="str">
        <f t="shared" si="4"/>
        <v/>
      </c>
    </row>
    <row r="115" spans="1:8" x14ac:dyDescent="0.25">
      <c r="A115" s="21" t="str">
        <f t="shared" si="5"/>
        <v/>
      </c>
      <c r="B115"/>
      <c r="C115"/>
      <c r="F115"/>
      <c r="G115" s="19" t="str">
        <f t="shared" si="3"/>
        <v/>
      </c>
      <c r="H115" s="19" t="str">
        <f t="shared" si="4"/>
        <v/>
      </c>
    </row>
    <row r="116" spans="1:8" x14ac:dyDescent="0.25">
      <c r="A116" s="21" t="str">
        <f t="shared" si="5"/>
        <v/>
      </c>
      <c r="B116"/>
      <c r="C116"/>
      <c r="F116"/>
      <c r="G116" s="19" t="str">
        <f t="shared" si="3"/>
        <v/>
      </c>
      <c r="H116" s="19" t="str">
        <f t="shared" si="4"/>
        <v/>
      </c>
    </row>
    <row r="117" spans="1:8" x14ac:dyDescent="0.25">
      <c r="A117" s="21" t="str">
        <f t="shared" si="5"/>
        <v/>
      </c>
      <c r="B117"/>
      <c r="C117"/>
      <c r="F117"/>
      <c r="G117" s="19" t="str">
        <f t="shared" si="3"/>
        <v/>
      </c>
      <c r="H117" s="19" t="str">
        <f t="shared" si="4"/>
        <v/>
      </c>
    </row>
    <row r="118" spans="1:8" x14ac:dyDescent="0.25">
      <c r="A118" s="21" t="str">
        <f t="shared" si="5"/>
        <v/>
      </c>
      <c r="B118"/>
      <c r="C118"/>
      <c r="F118"/>
      <c r="G118" s="19" t="str">
        <f t="shared" si="3"/>
        <v/>
      </c>
      <c r="H118" s="19" t="str">
        <f t="shared" si="4"/>
        <v/>
      </c>
    </row>
    <row r="119" spans="1:8" x14ac:dyDescent="0.25">
      <c r="A119" s="21" t="str">
        <f t="shared" si="5"/>
        <v/>
      </c>
      <c r="B119"/>
      <c r="C119"/>
      <c r="F119"/>
      <c r="G119" s="19" t="str">
        <f t="shared" si="3"/>
        <v/>
      </c>
      <c r="H119" s="19" t="str">
        <f t="shared" si="4"/>
        <v/>
      </c>
    </row>
    <row r="120" spans="1:8" x14ac:dyDescent="0.25">
      <c r="A120" s="21" t="str">
        <f t="shared" si="5"/>
        <v/>
      </c>
      <c r="B120"/>
      <c r="C120"/>
      <c r="F120"/>
      <c r="G120" s="19" t="str">
        <f t="shared" si="3"/>
        <v/>
      </c>
      <c r="H120" s="19" t="str">
        <f t="shared" si="4"/>
        <v/>
      </c>
    </row>
    <row r="121" spans="1:8" x14ac:dyDescent="0.25">
      <c r="A121" s="21" t="str">
        <f t="shared" si="5"/>
        <v/>
      </c>
      <c r="B121"/>
      <c r="C121"/>
      <c r="F121"/>
      <c r="G121" s="19" t="str">
        <f t="shared" si="3"/>
        <v/>
      </c>
      <c r="H121" s="19" t="str">
        <f t="shared" si="4"/>
        <v/>
      </c>
    </row>
    <row r="122" spans="1:8" x14ac:dyDescent="0.25">
      <c r="A122" s="21" t="str">
        <f t="shared" si="5"/>
        <v/>
      </c>
      <c r="B122"/>
      <c r="C122"/>
      <c r="F122"/>
      <c r="G122" s="19" t="str">
        <f t="shared" si="3"/>
        <v/>
      </c>
      <c r="H122" s="19" t="str">
        <f t="shared" si="4"/>
        <v/>
      </c>
    </row>
    <row r="123" spans="1:8" x14ac:dyDescent="0.25">
      <c r="A123" s="21" t="str">
        <f t="shared" si="5"/>
        <v/>
      </c>
      <c r="B123"/>
      <c r="C123"/>
      <c r="F123"/>
      <c r="G123" s="19" t="str">
        <f t="shared" si="3"/>
        <v/>
      </c>
      <c r="H123" s="19" t="str">
        <f t="shared" si="4"/>
        <v/>
      </c>
    </row>
    <row r="124" spans="1:8" x14ac:dyDescent="0.25">
      <c r="A124" s="21" t="str">
        <f t="shared" si="5"/>
        <v/>
      </c>
      <c r="B124"/>
      <c r="C124"/>
      <c r="F124"/>
      <c r="G124" s="19" t="str">
        <f t="shared" si="3"/>
        <v/>
      </c>
      <c r="H124" s="19" t="str">
        <f t="shared" si="4"/>
        <v/>
      </c>
    </row>
    <row r="125" spans="1:8" x14ac:dyDescent="0.25">
      <c r="A125" s="21" t="str">
        <f t="shared" si="5"/>
        <v/>
      </c>
      <c r="B125"/>
      <c r="C125"/>
      <c r="F125"/>
      <c r="G125" s="19" t="str">
        <f t="shared" si="3"/>
        <v/>
      </c>
      <c r="H125" s="19" t="str">
        <f t="shared" si="4"/>
        <v/>
      </c>
    </row>
    <row r="126" spans="1:8" x14ac:dyDescent="0.25">
      <c r="A126" s="21" t="str">
        <f t="shared" si="5"/>
        <v/>
      </c>
      <c r="B126"/>
      <c r="C126"/>
      <c r="F126"/>
      <c r="G126" s="19" t="str">
        <f t="shared" si="3"/>
        <v/>
      </c>
      <c r="H126" s="19" t="str">
        <f t="shared" si="4"/>
        <v/>
      </c>
    </row>
    <row r="127" spans="1:8" x14ac:dyDescent="0.25">
      <c r="A127" s="21" t="str">
        <f t="shared" si="5"/>
        <v/>
      </c>
      <c r="B127"/>
      <c r="C127"/>
      <c r="F127"/>
      <c r="G127" s="19" t="str">
        <f t="shared" si="3"/>
        <v/>
      </c>
      <c r="H127" s="19" t="str">
        <f t="shared" si="4"/>
        <v/>
      </c>
    </row>
    <row r="128" spans="1:8" x14ac:dyDescent="0.25">
      <c r="A128" s="21" t="str">
        <f t="shared" si="5"/>
        <v/>
      </c>
      <c r="B128"/>
      <c r="C128"/>
      <c r="F128"/>
      <c r="G128" s="19" t="str">
        <f t="shared" si="3"/>
        <v/>
      </c>
      <c r="H128" s="19" t="str">
        <f t="shared" si="4"/>
        <v/>
      </c>
    </row>
    <row r="129" spans="1:8" x14ac:dyDescent="0.25">
      <c r="A129" s="21" t="str">
        <f t="shared" si="5"/>
        <v/>
      </c>
      <c r="B129"/>
      <c r="C129"/>
      <c r="F129"/>
      <c r="G129" s="19" t="str">
        <f t="shared" si="3"/>
        <v/>
      </c>
      <c r="H129" s="19" t="str">
        <f t="shared" si="4"/>
        <v/>
      </c>
    </row>
    <row r="130" spans="1:8" x14ac:dyDescent="0.25">
      <c r="A130" s="21" t="str">
        <f t="shared" si="5"/>
        <v/>
      </c>
      <c r="B130"/>
      <c r="C130"/>
      <c r="F130"/>
      <c r="G130" s="19" t="str">
        <f t="shared" si="3"/>
        <v/>
      </c>
      <c r="H130" s="19" t="str">
        <f t="shared" si="4"/>
        <v/>
      </c>
    </row>
    <row r="131" spans="1:8" x14ac:dyDescent="0.25">
      <c r="A131" s="21" t="str">
        <f t="shared" si="5"/>
        <v/>
      </c>
      <c r="B131"/>
      <c r="C131"/>
      <c r="F131"/>
      <c r="G131" s="19" t="str">
        <f t="shared" si="3"/>
        <v/>
      </c>
      <c r="H131" s="19" t="str">
        <f t="shared" si="4"/>
        <v/>
      </c>
    </row>
    <row r="132" spans="1:8" x14ac:dyDescent="0.25">
      <c r="A132" s="21" t="str">
        <f t="shared" si="5"/>
        <v/>
      </c>
      <c r="B132"/>
      <c r="C132"/>
      <c r="F132"/>
      <c r="G132" s="19" t="str">
        <f t="shared" ref="G132:G195" si="6">IFERROR(VLOOKUP(F132,$A$3:$C$1002,2,FALSE),"")</f>
        <v/>
      </c>
      <c r="H132" s="19" t="str">
        <f t="shared" ref="H132:H195" si="7">IFERROR(VLOOKUP(F132,$A$3:$C$1002,3,FALSE),"")</f>
        <v/>
      </c>
    </row>
    <row r="133" spans="1:8" x14ac:dyDescent="0.25">
      <c r="A133" s="21" t="str">
        <f t="shared" ref="A133:A196" si="8">IF(LEN(B133)&gt;0,RANK(C133,C$3:C$1002,0),"")</f>
        <v/>
      </c>
      <c r="B133"/>
      <c r="C133"/>
      <c r="F133"/>
      <c r="G133" s="19" t="str">
        <f t="shared" si="6"/>
        <v/>
      </c>
      <c r="H133" s="19" t="str">
        <f t="shared" si="7"/>
        <v/>
      </c>
    </row>
    <row r="134" spans="1:8" x14ac:dyDescent="0.25">
      <c r="A134" s="21" t="str">
        <f t="shared" si="8"/>
        <v/>
      </c>
      <c r="B134"/>
      <c r="C134"/>
      <c r="F134"/>
      <c r="G134" s="19" t="str">
        <f t="shared" si="6"/>
        <v/>
      </c>
      <c r="H134" s="19" t="str">
        <f t="shared" si="7"/>
        <v/>
      </c>
    </row>
    <row r="135" spans="1:8" x14ac:dyDescent="0.25">
      <c r="A135" s="21" t="str">
        <f t="shared" si="8"/>
        <v/>
      </c>
      <c r="B135"/>
      <c r="C135"/>
      <c r="F135"/>
      <c r="G135" s="19" t="str">
        <f t="shared" si="6"/>
        <v/>
      </c>
      <c r="H135" s="19" t="str">
        <f t="shared" si="7"/>
        <v/>
      </c>
    </row>
    <row r="136" spans="1:8" x14ac:dyDescent="0.25">
      <c r="A136" s="21" t="str">
        <f t="shared" si="8"/>
        <v/>
      </c>
      <c r="B136"/>
      <c r="C136"/>
      <c r="F136"/>
      <c r="G136" s="19" t="str">
        <f t="shared" si="6"/>
        <v/>
      </c>
      <c r="H136" s="19" t="str">
        <f t="shared" si="7"/>
        <v/>
      </c>
    </row>
    <row r="137" spans="1:8" x14ac:dyDescent="0.25">
      <c r="A137" s="21" t="str">
        <f t="shared" si="8"/>
        <v/>
      </c>
      <c r="B137"/>
      <c r="C137"/>
      <c r="F137"/>
      <c r="G137" s="19" t="str">
        <f t="shared" si="6"/>
        <v/>
      </c>
      <c r="H137" s="19" t="str">
        <f t="shared" si="7"/>
        <v/>
      </c>
    </row>
    <row r="138" spans="1:8" x14ac:dyDescent="0.25">
      <c r="A138" s="21" t="str">
        <f t="shared" si="8"/>
        <v/>
      </c>
      <c r="B138"/>
      <c r="C138"/>
      <c r="F138"/>
      <c r="G138" s="19" t="str">
        <f t="shared" si="6"/>
        <v/>
      </c>
      <c r="H138" s="19" t="str">
        <f t="shared" si="7"/>
        <v/>
      </c>
    </row>
    <row r="139" spans="1:8" x14ac:dyDescent="0.25">
      <c r="A139" s="21" t="str">
        <f t="shared" si="8"/>
        <v/>
      </c>
      <c r="B139"/>
      <c r="C139"/>
      <c r="F139"/>
      <c r="G139" s="19" t="str">
        <f t="shared" si="6"/>
        <v/>
      </c>
      <c r="H139" s="19" t="str">
        <f t="shared" si="7"/>
        <v/>
      </c>
    </row>
    <row r="140" spans="1:8" x14ac:dyDescent="0.25">
      <c r="A140" s="21" t="str">
        <f t="shared" si="8"/>
        <v/>
      </c>
      <c r="B140"/>
      <c r="C140"/>
      <c r="F140"/>
      <c r="G140" s="19" t="str">
        <f t="shared" si="6"/>
        <v/>
      </c>
      <c r="H140" s="19" t="str">
        <f t="shared" si="7"/>
        <v/>
      </c>
    </row>
    <row r="141" spans="1:8" x14ac:dyDescent="0.25">
      <c r="A141" s="21" t="str">
        <f t="shared" si="8"/>
        <v/>
      </c>
      <c r="B141"/>
      <c r="C141"/>
      <c r="F141"/>
      <c r="G141" s="19" t="str">
        <f t="shared" si="6"/>
        <v/>
      </c>
      <c r="H141" s="19" t="str">
        <f t="shared" si="7"/>
        <v/>
      </c>
    </row>
    <row r="142" spans="1:8" x14ac:dyDescent="0.25">
      <c r="A142" s="21" t="str">
        <f t="shared" si="8"/>
        <v/>
      </c>
      <c r="B142"/>
      <c r="C142"/>
      <c r="F142"/>
      <c r="G142" s="19" t="str">
        <f t="shared" si="6"/>
        <v/>
      </c>
      <c r="H142" s="19" t="str">
        <f t="shared" si="7"/>
        <v/>
      </c>
    </row>
    <row r="143" spans="1:8" x14ac:dyDescent="0.25">
      <c r="A143" s="21" t="str">
        <f t="shared" si="8"/>
        <v/>
      </c>
      <c r="B143"/>
      <c r="C143"/>
      <c r="F143"/>
      <c r="G143" s="19" t="str">
        <f t="shared" si="6"/>
        <v/>
      </c>
      <c r="H143" s="19" t="str">
        <f t="shared" si="7"/>
        <v/>
      </c>
    </row>
    <row r="144" spans="1:8" x14ac:dyDescent="0.25">
      <c r="A144" s="21" t="str">
        <f t="shared" si="8"/>
        <v/>
      </c>
      <c r="B144"/>
      <c r="C144"/>
      <c r="F144"/>
      <c r="G144" s="19" t="str">
        <f t="shared" si="6"/>
        <v/>
      </c>
      <c r="H144" s="19" t="str">
        <f t="shared" si="7"/>
        <v/>
      </c>
    </row>
    <row r="145" spans="1:8" x14ac:dyDescent="0.25">
      <c r="A145" s="21" t="str">
        <f t="shared" si="8"/>
        <v/>
      </c>
      <c r="B145"/>
      <c r="C145"/>
      <c r="F145"/>
      <c r="G145" s="19" t="str">
        <f t="shared" si="6"/>
        <v/>
      </c>
      <c r="H145" s="19" t="str">
        <f t="shared" si="7"/>
        <v/>
      </c>
    </row>
    <row r="146" spans="1:8" x14ac:dyDescent="0.25">
      <c r="A146" s="21" t="str">
        <f t="shared" si="8"/>
        <v/>
      </c>
      <c r="B146"/>
      <c r="C146"/>
      <c r="F146"/>
      <c r="G146" s="19" t="str">
        <f t="shared" si="6"/>
        <v/>
      </c>
      <c r="H146" s="19" t="str">
        <f t="shared" si="7"/>
        <v/>
      </c>
    </row>
    <row r="147" spans="1:8" x14ac:dyDescent="0.25">
      <c r="A147" s="21" t="str">
        <f t="shared" si="8"/>
        <v/>
      </c>
      <c r="B147"/>
      <c r="C147"/>
      <c r="F147"/>
      <c r="G147" s="19" t="str">
        <f t="shared" si="6"/>
        <v/>
      </c>
      <c r="H147" s="19" t="str">
        <f t="shared" si="7"/>
        <v/>
      </c>
    </row>
    <row r="148" spans="1:8" x14ac:dyDescent="0.25">
      <c r="A148" s="21" t="str">
        <f t="shared" si="8"/>
        <v/>
      </c>
      <c r="B148"/>
      <c r="C148"/>
      <c r="F148"/>
      <c r="G148" s="19" t="str">
        <f t="shared" si="6"/>
        <v/>
      </c>
      <c r="H148" s="19" t="str">
        <f t="shared" si="7"/>
        <v/>
      </c>
    </row>
    <row r="149" spans="1:8" x14ac:dyDescent="0.25">
      <c r="A149" s="21" t="str">
        <f t="shared" si="8"/>
        <v/>
      </c>
      <c r="B149"/>
      <c r="C149"/>
      <c r="F149"/>
      <c r="G149" s="19" t="str">
        <f t="shared" si="6"/>
        <v/>
      </c>
      <c r="H149" s="19" t="str">
        <f t="shared" si="7"/>
        <v/>
      </c>
    </row>
    <row r="150" spans="1:8" x14ac:dyDescent="0.25">
      <c r="A150" s="21" t="str">
        <f t="shared" si="8"/>
        <v/>
      </c>
      <c r="B150"/>
      <c r="C150"/>
      <c r="F150"/>
      <c r="G150" s="19" t="str">
        <f t="shared" si="6"/>
        <v/>
      </c>
      <c r="H150" s="19" t="str">
        <f t="shared" si="7"/>
        <v/>
      </c>
    </row>
    <row r="151" spans="1:8" x14ac:dyDescent="0.25">
      <c r="A151" s="21" t="str">
        <f t="shared" si="8"/>
        <v/>
      </c>
      <c r="B151"/>
      <c r="C151"/>
      <c r="F151"/>
      <c r="G151" s="19" t="str">
        <f t="shared" si="6"/>
        <v/>
      </c>
      <c r="H151" s="19" t="str">
        <f t="shared" si="7"/>
        <v/>
      </c>
    </row>
    <row r="152" spans="1:8" x14ac:dyDescent="0.25">
      <c r="A152" s="21" t="str">
        <f t="shared" si="8"/>
        <v/>
      </c>
      <c r="B152"/>
      <c r="C152"/>
      <c r="F152"/>
      <c r="G152" s="19" t="str">
        <f t="shared" si="6"/>
        <v/>
      </c>
      <c r="H152" s="19" t="str">
        <f t="shared" si="7"/>
        <v/>
      </c>
    </row>
    <row r="153" spans="1:8" x14ac:dyDescent="0.25">
      <c r="A153" s="21" t="str">
        <f t="shared" si="8"/>
        <v/>
      </c>
      <c r="B153"/>
      <c r="C153"/>
      <c r="F153"/>
      <c r="G153" s="19" t="str">
        <f t="shared" si="6"/>
        <v/>
      </c>
      <c r="H153" s="19" t="str">
        <f t="shared" si="7"/>
        <v/>
      </c>
    </row>
    <row r="154" spans="1:8" x14ac:dyDescent="0.25">
      <c r="A154" s="21" t="str">
        <f t="shared" si="8"/>
        <v/>
      </c>
      <c r="B154"/>
      <c r="C154"/>
      <c r="F154"/>
      <c r="G154" s="19" t="str">
        <f t="shared" si="6"/>
        <v/>
      </c>
      <c r="H154" s="19" t="str">
        <f t="shared" si="7"/>
        <v/>
      </c>
    </row>
    <row r="155" spans="1:8" x14ac:dyDescent="0.25">
      <c r="A155" s="21" t="str">
        <f t="shared" si="8"/>
        <v/>
      </c>
      <c r="B155"/>
      <c r="C155"/>
      <c r="F155"/>
      <c r="G155" s="19" t="str">
        <f t="shared" si="6"/>
        <v/>
      </c>
      <c r="H155" s="19" t="str">
        <f t="shared" si="7"/>
        <v/>
      </c>
    </row>
    <row r="156" spans="1:8" x14ac:dyDescent="0.25">
      <c r="A156" s="21" t="str">
        <f t="shared" si="8"/>
        <v/>
      </c>
      <c r="B156"/>
      <c r="C156"/>
      <c r="F156"/>
      <c r="G156" s="19" t="str">
        <f t="shared" si="6"/>
        <v/>
      </c>
      <c r="H156" s="19" t="str">
        <f t="shared" si="7"/>
        <v/>
      </c>
    </row>
    <row r="157" spans="1:8" x14ac:dyDescent="0.25">
      <c r="A157" s="21" t="str">
        <f t="shared" si="8"/>
        <v/>
      </c>
      <c r="B157"/>
      <c r="C157"/>
      <c r="F157"/>
      <c r="G157" s="19" t="str">
        <f t="shared" si="6"/>
        <v/>
      </c>
      <c r="H157" s="19" t="str">
        <f t="shared" si="7"/>
        <v/>
      </c>
    </row>
    <row r="158" spans="1:8" x14ac:dyDescent="0.25">
      <c r="A158" s="21" t="str">
        <f t="shared" si="8"/>
        <v/>
      </c>
      <c r="B158"/>
      <c r="C158"/>
      <c r="F158"/>
      <c r="G158" s="19" t="str">
        <f t="shared" si="6"/>
        <v/>
      </c>
      <c r="H158" s="19" t="str">
        <f t="shared" si="7"/>
        <v/>
      </c>
    </row>
    <row r="159" spans="1:8" x14ac:dyDescent="0.25">
      <c r="A159" s="21" t="str">
        <f t="shared" si="8"/>
        <v/>
      </c>
      <c r="B159"/>
      <c r="C159"/>
      <c r="F159"/>
      <c r="G159" s="19" t="str">
        <f t="shared" si="6"/>
        <v/>
      </c>
      <c r="H159" s="19" t="str">
        <f t="shared" si="7"/>
        <v/>
      </c>
    </row>
    <row r="160" spans="1:8" x14ac:dyDescent="0.25">
      <c r="A160" s="21" t="str">
        <f t="shared" si="8"/>
        <v/>
      </c>
      <c r="B160"/>
      <c r="C160"/>
      <c r="F160"/>
      <c r="G160" s="19" t="str">
        <f t="shared" si="6"/>
        <v/>
      </c>
      <c r="H160" s="19" t="str">
        <f t="shared" si="7"/>
        <v/>
      </c>
    </row>
    <row r="161" spans="1:8" x14ac:dyDescent="0.25">
      <c r="A161" s="21" t="str">
        <f t="shared" si="8"/>
        <v/>
      </c>
      <c r="B161"/>
      <c r="C161"/>
      <c r="F161"/>
      <c r="G161" s="19" t="str">
        <f t="shared" si="6"/>
        <v/>
      </c>
      <c r="H161" s="19" t="str">
        <f t="shared" si="7"/>
        <v/>
      </c>
    </row>
    <row r="162" spans="1:8" x14ac:dyDescent="0.25">
      <c r="A162" s="21" t="str">
        <f t="shared" si="8"/>
        <v/>
      </c>
      <c r="B162"/>
      <c r="C162"/>
      <c r="F162"/>
      <c r="G162" s="19" t="str">
        <f t="shared" si="6"/>
        <v/>
      </c>
      <c r="H162" s="19" t="str">
        <f t="shared" si="7"/>
        <v/>
      </c>
    </row>
    <row r="163" spans="1:8" x14ac:dyDescent="0.25">
      <c r="A163" s="21" t="str">
        <f t="shared" si="8"/>
        <v/>
      </c>
      <c r="B163"/>
      <c r="C163"/>
      <c r="F163"/>
      <c r="G163" s="19" t="str">
        <f t="shared" si="6"/>
        <v/>
      </c>
      <c r="H163" s="19" t="str">
        <f t="shared" si="7"/>
        <v/>
      </c>
    </row>
    <row r="164" spans="1:8" x14ac:dyDescent="0.25">
      <c r="A164" s="21" t="str">
        <f t="shared" si="8"/>
        <v/>
      </c>
      <c r="B164"/>
      <c r="C164"/>
      <c r="F164"/>
      <c r="G164" s="19" t="str">
        <f t="shared" si="6"/>
        <v/>
      </c>
      <c r="H164" s="19" t="str">
        <f t="shared" si="7"/>
        <v/>
      </c>
    </row>
    <row r="165" spans="1:8" x14ac:dyDescent="0.25">
      <c r="A165" s="21" t="str">
        <f t="shared" si="8"/>
        <v/>
      </c>
      <c r="B165"/>
      <c r="C165"/>
      <c r="F165"/>
      <c r="G165" s="19" t="str">
        <f t="shared" si="6"/>
        <v/>
      </c>
      <c r="H165" s="19" t="str">
        <f t="shared" si="7"/>
        <v/>
      </c>
    </row>
    <row r="166" spans="1:8" x14ac:dyDescent="0.25">
      <c r="A166" s="21" t="str">
        <f t="shared" si="8"/>
        <v/>
      </c>
      <c r="B166"/>
      <c r="C166"/>
      <c r="F166"/>
      <c r="G166" s="19" t="str">
        <f t="shared" si="6"/>
        <v/>
      </c>
      <c r="H166" s="19" t="str">
        <f t="shared" si="7"/>
        <v/>
      </c>
    </row>
    <row r="167" spans="1:8" x14ac:dyDescent="0.25">
      <c r="A167" s="21" t="str">
        <f t="shared" si="8"/>
        <v/>
      </c>
      <c r="B167"/>
      <c r="C167"/>
      <c r="F167"/>
      <c r="G167" s="19" t="str">
        <f t="shared" si="6"/>
        <v/>
      </c>
      <c r="H167" s="19" t="str">
        <f t="shared" si="7"/>
        <v/>
      </c>
    </row>
    <row r="168" spans="1:8" x14ac:dyDescent="0.25">
      <c r="A168" s="21" t="str">
        <f t="shared" si="8"/>
        <v/>
      </c>
      <c r="B168"/>
      <c r="C168"/>
      <c r="F168"/>
      <c r="G168" s="19" t="str">
        <f t="shared" si="6"/>
        <v/>
      </c>
      <c r="H168" s="19" t="str">
        <f t="shared" si="7"/>
        <v/>
      </c>
    </row>
    <row r="169" spans="1:8" x14ac:dyDescent="0.25">
      <c r="A169" s="21" t="str">
        <f t="shared" si="8"/>
        <v/>
      </c>
      <c r="B169"/>
      <c r="C169"/>
      <c r="F169"/>
      <c r="G169" s="19" t="str">
        <f t="shared" si="6"/>
        <v/>
      </c>
      <c r="H169" s="19" t="str">
        <f t="shared" si="7"/>
        <v/>
      </c>
    </row>
    <row r="170" spans="1:8" x14ac:dyDescent="0.25">
      <c r="A170" s="21" t="str">
        <f t="shared" si="8"/>
        <v/>
      </c>
      <c r="B170"/>
      <c r="C170"/>
      <c r="F170"/>
      <c r="G170" s="19" t="str">
        <f t="shared" si="6"/>
        <v/>
      </c>
      <c r="H170" s="19" t="str">
        <f t="shared" si="7"/>
        <v/>
      </c>
    </row>
    <row r="171" spans="1:8" x14ac:dyDescent="0.25">
      <c r="A171" s="21" t="str">
        <f t="shared" si="8"/>
        <v/>
      </c>
      <c r="B171"/>
      <c r="C171"/>
      <c r="F171"/>
      <c r="G171" s="19" t="str">
        <f t="shared" si="6"/>
        <v/>
      </c>
      <c r="H171" s="19" t="str">
        <f t="shared" si="7"/>
        <v/>
      </c>
    </row>
    <row r="172" spans="1:8" x14ac:dyDescent="0.25">
      <c r="A172" s="21" t="str">
        <f t="shared" si="8"/>
        <v/>
      </c>
      <c r="B172"/>
      <c r="C172"/>
      <c r="F172"/>
      <c r="G172" s="19" t="str">
        <f t="shared" si="6"/>
        <v/>
      </c>
      <c r="H172" s="19" t="str">
        <f t="shared" si="7"/>
        <v/>
      </c>
    </row>
    <row r="173" spans="1:8" x14ac:dyDescent="0.25">
      <c r="A173" s="21" t="str">
        <f t="shared" si="8"/>
        <v/>
      </c>
      <c r="B173"/>
      <c r="C173"/>
      <c r="F173"/>
      <c r="G173" s="19" t="str">
        <f t="shared" si="6"/>
        <v/>
      </c>
      <c r="H173" s="19" t="str">
        <f t="shared" si="7"/>
        <v/>
      </c>
    </row>
    <row r="174" spans="1:8" x14ac:dyDescent="0.25">
      <c r="A174" s="21" t="str">
        <f t="shared" si="8"/>
        <v/>
      </c>
      <c r="B174"/>
      <c r="C174"/>
      <c r="F174"/>
      <c r="G174" s="19" t="str">
        <f t="shared" si="6"/>
        <v/>
      </c>
      <c r="H174" s="19" t="str">
        <f t="shared" si="7"/>
        <v/>
      </c>
    </row>
    <row r="175" spans="1:8" x14ac:dyDescent="0.25">
      <c r="A175" s="21" t="str">
        <f t="shared" si="8"/>
        <v/>
      </c>
      <c r="B175"/>
      <c r="C175"/>
      <c r="F175"/>
      <c r="G175" s="19" t="str">
        <f t="shared" si="6"/>
        <v/>
      </c>
      <c r="H175" s="19" t="str">
        <f t="shared" si="7"/>
        <v/>
      </c>
    </row>
    <row r="176" spans="1:8" x14ac:dyDescent="0.25">
      <c r="A176" s="21" t="str">
        <f t="shared" si="8"/>
        <v/>
      </c>
      <c r="B176"/>
      <c r="C176"/>
      <c r="F176"/>
      <c r="G176" s="19" t="str">
        <f t="shared" si="6"/>
        <v/>
      </c>
      <c r="H176" s="19" t="str">
        <f t="shared" si="7"/>
        <v/>
      </c>
    </row>
    <row r="177" spans="1:8" x14ac:dyDescent="0.25">
      <c r="A177" s="21" t="str">
        <f t="shared" si="8"/>
        <v/>
      </c>
      <c r="B177"/>
      <c r="C177"/>
      <c r="F177"/>
      <c r="G177" s="19" t="str">
        <f t="shared" si="6"/>
        <v/>
      </c>
      <c r="H177" s="19" t="str">
        <f t="shared" si="7"/>
        <v/>
      </c>
    </row>
    <row r="178" spans="1:8" x14ac:dyDescent="0.25">
      <c r="A178" s="21" t="str">
        <f t="shared" si="8"/>
        <v/>
      </c>
      <c r="B178"/>
      <c r="C178"/>
      <c r="F178"/>
      <c r="G178" s="19" t="str">
        <f t="shared" si="6"/>
        <v/>
      </c>
      <c r="H178" s="19" t="str">
        <f t="shared" si="7"/>
        <v/>
      </c>
    </row>
    <row r="179" spans="1:8" x14ac:dyDescent="0.25">
      <c r="A179" s="21" t="str">
        <f t="shared" si="8"/>
        <v/>
      </c>
      <c r="B179"/>
      <c r="C179"/>
      <c r="F179"/>
      <c r="G179" s="19" t="str">
        <f t="shared" si="6"/>
        <v/>
      </c>
      <c r="H179" s="19" t="str">
        <f t="shared" si="7"/>
        <v/>
      </c>
    </row>
    <row r="180" spans="1:8" x14ac:dyDescent="0.25">
      <c r="A180" s="21" t="str">
        <f t="shared" si="8"/>
        <v/>
      </c>
      <c r="B180"/>
      <c r="C180"/>
      <c r="F180"/>
      <c r="G180" s="19" t="str">
        <f t="shared" si="6"/>
        <v/>
      </c>
      <c r="H180" s="19" t="str">
        <f t="shared" si="7"/>
        <v/>
      </c>
    </row>
    <row r="181" spans="1:8" x14ac:dyDescent="0.25">
      <c r="A181" s="21" t="str">
        <f t="shared" si="8"/>
        <v/>
      </c>
      <c r="B181"/>
      <c r="C181"/>
      <c r="F181"/>
      <c r="G181" s="19" t="str">
        <f t="shared" si="6"/>
        <v/>
      </c>
      <c r="H181" s="19" t="str">
        <f t="shared" si="7"/>
        <v/>
      </c>
    </row>
    <row r="182" spans="1:8" x14ac:dyDescent="0.25">
      <c r="A182" s="21" t="str">
        <f t="shared" si="8"/>
        <v/>
      </c>
      <c r="B182"/>
      <c r="C182"/>
      <c r="F182"/>
      <c r="G182" s="19" t="str">
        <f t="shared" si="6"/>
        <v/>
      </c>
      <c r="H182" s="19" t="str">
        <f t="shared" si="7"/>
        <v/>
      </c>
    </row>
    <row r="183" spans="1:8" x14ac:dyDescent="0.25">
      <c r="A183" s="21" t="str">
        <f t="shared" si="8"/>
        <v/>
      </c>
      <c r="B183"/>
      <c r="C183"/>
      <c r="F183"/>
      <c r="G183" s="19" t="str">
        <f t="shared" si="6"/>
        <v/>
      </c>
      <c r="H183" s="19" t="str">
        <f t="shared" si="7"/>
        <v/>
      </c>
    </row>
    <row r="184" spans="1:8" x14ac:dyDescent="0.25">
      <c r="A184" s="21" t="str">
        <f t="shared" si="8"/>
        <v/>
      </c>
      <c r="B184"/>
      <c r="C184"/>
      <c r="F184"/>
      <c r="G184" s="19" t="str">
        <f t="shared" si="6"/>
        <v/>
      </c>
      <c r="H184" s="19" t="str">
        <f t="shared" si="7"/>
        <v/>
      </c>
    </row>
    <row r="185" spans="1:8" x14ac:dyDescent="0.25">
      <c r="A185" s="21" t="str">
        <f t="shared" si="8"/>
        <v/>
      </c>
      <c r="B185"/>
      <c r="C185"/>
      <c r="F185"/>
      <c r="G185" s="19" t="str">
        <f t="shared" si="6"/>
        <v/>
      </c>
      <c r="H185" s="19" t="str">
        <f t="shared" si="7"/>
        <v/>
      </c>
    </row>
    <row r="186" spans="1:8" x14ac:dyDescent="0.25">
      <c r="A186" s="21" t="str">
        <f t="shared" si="8"/>
        <v/>
      </c>
      <c r="B186"/>
      <c r="C186"/>
      <c r="F186"/>
      <c r="G186" s="19" t="str">
        <f t="shared" si="6"/>
        <v/>
      </c>
      <c r="H186" s="19" t="str">
        <f t="shared" si="7"/>
        <v/>
      </c>
    </row>
    <row r="187" spans="1:8" x14ac:dyDescent="0.25">
      <c r="A187" s="21" t="str">
        <f t="shared" si="8"/>
        <v/>
      </c>
      <c r="B187"/>
      <c r="C187"/>
      <c r="F187"/>
      <c r="G187" s="19" t="str">
        <f t="shared" si="6"/>
        <v/>
      </c>
      <c r="H187" s="19" t="str">
        <f t="shared" si="7"/>
        <v/>
      </c>
    </row>
    <row r="188" spans="1:8" x14ac:dyDescent="0.25">
      <c r="A188" s="21" t="str">
        <f t="shared" si="8"/>
        <v/>
      </c>
      <c r="B188"/>
      <c r="C188"/>
      <c r="F188"/>
      <c r="G188" s="19" t="str">
        <f t="shared" si="6"/>
        <v/>
      </c>
      <c r="H188" s="19" t="str">
        <f t="shared" si="7"/>
        <v/>
      </c>
    </row>
    <row r="189" spans="1:8" x14ac:dyDescent="0.25">
      <c r="A189" s="21" t="str">
        <f t="shared" si="8"/>
        <v/>
      </c>
      <c r="B189"/>
      <c r="C189"/>
      <c r="F189"/>
      <c r="G189" s="19" t="str">
        <f t="shared" si="6"/>
        <v/>
      </c>
      <c r="H189" s="19" t="str">
        <f t="shared" si="7"/>
        <v/>
      </c>
    </row>
    <row r="190" spans="1:8" x14ac:dyDescent="0.25">
      <c r="A190" s="21" t="str">
        <f t="shared" si="8"/>
        <v/>
      </c>
      <c r="B190"/>
      <c r="C190"/>
      <c r="F190"/>
      <c r="G190" s="19" t="str">
        <f t="shared" si="6"/>
        <v/>
      </c>
      <c r="H190" s="19" t="str">
        <f t="shared" si="7"/>
        <v/>
      </c>
    </row>
    <row r="191" spans="1:8" x14ac:dyDescent="0.25">
      <c r="A191" s="21" t="str">
        <f t="shared" si="8"/>
        <v/>
      </c>
      <c r="B191"/>
      <c r="C191"/>
      <c r="F191"/>
      <c r="G191" s="19" t="str">
        <f t="shared" si="6"/>
        <v/>
      </c>
      <c r="H191" s="19" t="str">
        <f t="shared" si="7"/>
        <v/>
      </c>
    </row>
    <row r="192" spans="1:8" x14ac:dyDescent="0.25">
      <c r="A192" s="21" t="str">
        <f t="shared" si="8"/>
        <v/>
      </c>
      <c r="B192"/>
      <c r="C192"/>
      <c r="F192"/>
      <c r="G192" s="19" t="str">
        <f t="shared" si="6"/>
        <v/>
      </c>
      <c r="H192" s="19" t="str">
        <f t="shared" si="7"/>
        <v/>
      </c>
    </row>
    <row r="193" spans="1:8" x14ac:dyDescent="0.25">
      <c r="A193" s="21" t="str">
        <f t="shared" si="8"/>
        <v/>
      </c>
      <c r="B193"/>
      <c r="C193"/>
      <c r="F193"/>
      <c r="G193" s="19" t="str">
        <f t="shared" si="6"/>
        <v/>
      </c>
      <c r="H193" s="19" t="str">
        <f t="shared" si="7"/>
        <v/>
      </c>
    </row>
    <row r="194" spans="1:8" x14ac:dyDescent="0.25">
      <c r="A194" s="21" t="str">
        <f t="shared" si="8"/>
        <v/>
      </c>
      <c r="B194"/>
      <c r="C194"/>
      <c r="F194"/>
      <c r="G194" s="19" t="str">
        <f t="shared" si="6"/>
        <v/>
      </c>
      <c r="H194" s="19" t="str">
        <f t="shared" si="7"/>
        <v/>
      </c>
    </row>
    <row r="195" spans="1:8" x14ac:dyDescent="0.25">
      <c r="A195" s="21" t="str">
        <f t="shared" si="8"/>
        <v/>
      </c>
      <c r="B195"/>
      <c r="C195"/>
      <c r="F195"/>
      <c r="G195" s="19" t="str">
        <f t="shared" si="6"/>
        <v/>
      </c>
      <c r="H195" s="19" t="str">
        <f t="shared" si="7"/>
        <v/>
      </c>
    </row>
    <row r="196" spans="1:8" x14ac:dyDescent="0.25">
      <c r="A196" s="21" t="str">
        <f t="shared" si="8"/>
        <v/>
      </c>
      <c r="B196"/>
      <c r="C196"/>
      <c r="F196"/>
      <c r="G196" s="19" t="str">
        <f t="shared" ref="G196:G259" si="9">IFERROR(VLOOKUP(F196,$A$3:$C$1002,2,FALSE),"")</f>
        <v/>
      </c>
      <c r="H196" s="19" t="str">
        <f t="shared" ref="H196:H259" si="10">IFERROR(VLOOKUP(F196,$A$3:$C$1002,3,FALSE),"")</f>
        <v/>
      </c>
    </row>
    <row r="197" spans="1:8" x14ac:dyDescent="0.25">
      <c r="A197" s="21" t="str">
        <f t="shared" ref="A197:A260" si="11">IF(LEN(B197)&gt;0,RANK(C197,C$3:C$1002,0),"")</f>
        <v/>
      </c>
      <c r="B197"/>
      <c r="C197"/>
      <c r="F197"/>
      <c r="G197" s="19" t="str">
        <f t="shared" si="9"/>
        <v/>
      </c>
      <c r="H197" s="19" t="str">
        <f t="shared" si="10"/>
        <v/>
      </c>
    </row>
    <row r="198" spans="1:8" x14ac:dyDescent="0.25">
      <c r="A198" s="21" t="str">
        <f t="shared" si="11"/>
        <v/>
      </c>
      <c r="B198"/>
      <c r="C198"/>
      <c r="F198"/>
      <c r="G198" s="19" t="str">
        <f t="shared" si="9"/>
        <v/>
      </c>
      <c r="H198" s="19" t="str">
        <f t="shared" si="10"/>
        <v/>
      </c>
    </row>
    <row r="199" spans="1:8" x14ac:dyDescent="0.25">
      <c r="A199" s="21" t="str">
        <f t="shared" si="11"/>
        <v/>
      </c>
      <c r="B199"/>
      <c r="C199"/>
      <c r="F199"/>
      <c r="G199" s="19" t="str">
        <f t="shared" si="9"/>
        <v/>
      </c>
      <c r="H199" s="19" t="str">
        <f t="shared" si="10"/>
        <v/>
      </c>
    </row>
    <row r="200" spans="1:8" x14ac:dyDescent="0.25">
      <c r="A200" s="21" t="str">
        <f t="shared" si="11"/>
        <v/>
      </c>
      <c r="B200"/>
      <c r="C200"/>
      <c r="F200"/>
      <c r="G200" s="19" t="str">
        <f t="shared" si="9"/>
        <v/>
      </c>
      <c r="H200" s="19" t="str">
        <f t="shared" si="10"/>
        <v/>
      </c>
    </row>
    <row r="201" spans="1:8" x14ac:dyDescent="0.25">
      <c r="A201" s="21" t="str">
        <f t="shared" si="11"/>
        <v/>
      </c>
      <c r="B201"/>
      <c r="C201"/>
      <c r="F201"/>
      <c r="G201" s="19" t="str">
        <f t="shared" si="9"/>
        <v/>
      </c>
      <c r="H201" s="19" t="str">
        <f t="shared" si="10"/>
        <v/>
      </c>
    </row>
    <row r="202" spans="1:8" x14ac:dyDescent="0.25">
      <c r="A202" s="21" t="str">
        <f t="shared" si="11"/>
        <v/>
      </c>
      <c r="B202"/>
      <c r="C202"/>
      <c r="F202"/>
      <c r="G202" s="19" t="str">
        <f t="shared" si="9"/>
        <v/>
      </c>
      <c r="H202" s="19" t="str">
        <f t="shared" si="10"/>
        <v/>
      </c>
    </row>
    <row r="203" spans="1:8" x14ac:dyDescent="0.25">
      <c r="A203" s="21" t="str">
        <f t="shared" si="11"/>
        <v/>
      </c>
      <c r="B203"/>
      <c r="C203"/>
      <c r="F203"/>
      <c r="G203" s="19" t="str">
        <f t="shared" si="9"/>
        <v/>
      </c>
      <c r="H203" s="19" t="str">
        <f t="shared" si="10"/>
        <v/>
      </c>
    </row>
    <row r="204" spans="1:8" x14ac:dyDescent="0.25">
      <c r="A204" s="21" t="str">
        <f t="shared" si="11"/>
        <v/>
      </c>
      <c r="B204"/>
      <c r="C204"/>
      <c r="F204"/>
      <c r="G204" s="19" t="str">
        <f t="shared" si="9"/>
        <v/>
      </c>
      <c r="H204" s="19" t="str">
        <f t="shared" si="10"/>
        <v/>
      </c>
    </row>
    <row r="205" spans="1:8" x14ac:dyDescent="0.25">
      <c r="A205" s="21" t="str">
        <f t="shared" si="11"/>
        <v/>
      </c>
      <c r="B205"/>
      <c r="C205"/>
      <c r="F205"/>
      <c r="G205" s="19" t="str">
        <f t="shared" si="9"/>
        <v/>
      </c>
      <c r="H205" s="19" t="str">
        <f t="shared" si="10"/>
        <v/>
      </c>
    </row>
    <row r="206" spans="1:8" x14ac:dyDescent="0.25">
      <c r="A206" s="21" t="str">
        <f t="shared" si="11"/>
        <v/>
      </c>
      <c r="B206"/>
      <c r="C206"/>
      <c r="F206"/>
      <c r="G206" s="19" t="str">
        <f t="shared" si="9"/>
        <v/>
      </c>
      <c r="H206" s="19" t="str">
        <f t="shared" si="10"/>
        <v/>
      </c>
    </row>
    <row r="207" spans="1:8" x14ac:dyDescent="0.25">
      <c r="A207" s="21" t="str">
        <f t="shared" si="11"/>
        <v/>
      </c>
      <c r="B207"/>
      <c r="C207"/>
      <c r="F207"/>
      <c r="G207" s="19" t="str">
        <f t="shared" si="9"/>
        <v/>
      </c>
      <c r="H207" s="19" t="str">
        <f t="shared" si="10"/>
        <v/>
      </c>
    </row>
    <row r="208" spans="1:8" x14ac:dyDescent="0.25">
      <c r="A208" s="21" t="str">
        <f t="shared" si="11"/>
        <v/>
      </c>
      <c r="B208"/>
      <c r="C208"/>
      <c r="F208"/>
      <c r="G208" s="19" t="str">
        <f t="shared" si="9"/>
        <v/>
      </c>
      <c r="H208" s="19" t="str">
        <f t="shared" si="10"/>
        <v/>
      </c>
    </row>
    <row r="209" spans="1:8" x14ac:dyDescent="0.25">
      <c r="A209" s="21" t="str">
        <f t="shared" si="11"/>
        <v/>
      </c>
      <c r="B209"/>
      <c r="C209"/>
      <c r="F209"/>
      <c r="G209" s="19" t="str">
        <f t="shared" si="9"/>
        <v/>
      </c>
      <c r="H209" s="19" t="str">
        <f t="shared" si="10"/>
        <v/>
      </c>
    </row>
    <row r="210" spans="1:8" x14ac:dyDescent="0.25">
      <c r="A210" s="21" t="str">
        <f t="shared" si="11"/>
        <v/>
      </c>
      <c r="B210"/>
      <c r="C210"/>
      <c r="F210"/>
      <c r="G210" s="19" t="str">
        <f t="shared" si="9"/>
        <v/>
      </c>
      <c r="H210" s="19" t="str">
        <f t="shared" si="10"/>
        <v/>
      </c>
    </row>
    <row r="211" spans="1:8" x14ac:dyDescent="0.25">
      <c r="A211" s="21" t="str">
        <f t="shared" si="11"/>
        <v/>
      </c>
      <c r="B211"/>
      <c r="C211"/>
      <c r="F211"/>
      <c r="G211" s="19" t="str">
        <f t="shared" si="9"/>
        <v/>
      </c>
      <c r="H211" s="19" t="str">
        <f t="shared" si="10"/>
        <v/>
      </c>
    </row>
    <row r="212" spans="1:8" x14ac:dyDescent="0.25">
      <c r="A212" s="21" t="str">
        <f t="shared" si="11"/>
        <v/>
      </c>
      <c r="B212"/>
      <c r="C212"/>
      <c r="F212"/>
      <c r="G212" s="19" t="str">
        <f t="shared" si="9"/>
        <v/>
      </c>
      <c r="H212" s="19" t="str">
        <f t="shared" si="10"/>
        <v/>
      </c>
    </row>
    <row r="213" spans="1:8" x14ac:dyDescent="0.25">
      <c r="A213" s="21" t="str">
        <f t="shared" si="11"/>
        <v/>
      </c>
      <c r="B213"/>
      <c r="C213"/>
      <c r="F213"/>
      <c r="G213" s="19" t="str">
        <f t="shared" si="9"/>
        <v/>
      </c>
      <c r="H213" s="19" t="str">
        <f t="shared" si="10"/>
        <v/>
      </c>
    </row>
    <row r="214" spans="1:8" x14ac:dyDescent="0.25">
      <c r="A214" s="21" t="str">
        <f t="shared" si="11"/>
        <v/>
      </c>
      <c r="B214"/>
      <c r="C214"/>
      <c r="F214"/>
      <c r="G214" s="19" t="str">
        <f t="shared" si="9"/>
        <v/>
      </c>
      <c r="H214" s="19" t="str">
        <f t="shared" si="10"/>
        <v/>
      </c>
    </row>
    <row r="215" spans="1:8" x14ac:dyDescent="0.25">
      <c r="A215" s="21" t="str">
        <f t="shared" si="11"/>
        <v/>
      </c>
      <c r="B215"/>
      <c r="C215"/>
      <c r="F215"/>
      <c r="G215" s="19" t="str">
        <f t="shared" si="9"/>
        <v/>
      </c>
      <c r="H215" s="19" t="str">
        <f t="shared" si="10"/>
        <v/>
      </c>
    </row>
    <row r="216" spans="1:8" x14ac:dyDescent="0.25">
      <c r="A216" s="21" t="str">
        <f t="shared" si="11"/>
        <v/>
      </c>
      <c r="B216"/>
      <c r="C216"/>
      <c r="F216"/>
      <c r="G216" s="19" t="str">
        <f t="shared" si="9"/>
        <v/>
      </c>
      <c r="H216" s="19" t="str">
        <f t="shared" si="10"/>
        <v/>
      </c>
    </row>
    <row r="217" spans="1:8" x14ac:dyDescent="0.25">
      <c r="A217" s="21" t="str">
        <f t="shared" si="11"/>
        <v/>
      </c>
      <c r="B217"/>
      <c r="C217"/>
      <c r="F217"/>
      <c r="G217" s="19" t="str">
        <f t="shared" si="9"/>
        <v/>
      </c>
      <c r="H217" s="19" t="str">
        <f t="shared" si="10"/>
        <v/>
      </c>
    </row>
    <row r="218" spans="1:8" x14ac:dyDescent="0.25">
      <c r="A218" s="21" t="str">
        <f t="shared" si="11"/>
        <v/>
      </c>
      <c r="B218"/>
      <c r="C218"/>
      <c r="F218"/>
      <c r="G218" s="19" t="str">
        <f t="shared" si="9"/>
        <v/>
      </c>
      <c r="H218" s="19" t="str">
        <f t="shared" si="10"/>
        <v/>
      </c>
    </row>
    <row r="219" spans="1:8" x14ac:dyDescent="0.25">
      <c r="A219" s="21" t="str">
        <f t="shared" si="11"/>
        <v/>
      </c>
      <c r="B219"/>
      <c r="C219"/>
      <c r="F219"/>
      <c r="G219" s="19" t="str">
        <f t="shared" si="9"/>
        <v/>
      </c>
      <c r="H219" s="19" t="str">
        <f t="shared" si="10"/>
        <v/>
      </c>
    </row>
    <row r="220" spans="1:8" x14ac:dyDescent="0.25">
      <c r="A220" s="21" t="str">
        <f t="shared" si="11"/>
        <v/>
      </c>
      <c r="B220"/>
      <c r="C220"/>
      <c r="F220"/>
      <c r="G220" s="19" t="str">
        <f t="shared" si="9"/>
        <v/>
      </c>
      <c r="H220" s="19" t="str">
        <f t="shared" si="10"/>
        <v/>
      </c>
    </row>
    <row r="221" spans="1:8" x14ac:dyDescent="0.25">
      <c r="A221" s="21" t="str">
        <f t="shared" si="11"/>
        <v/>
      </c>
      <c r="B221"/>
      <c r="C221"/>
      <c r="F221"/>
      <c r="G221" s="19" t="str">
        <f t="shared" si="9"/>
        <v/>
      </c>
      <c r="H221" s="19" t="str">
        <f t="shared" si="10"/>
        <v/>
      </c>
    </row>
    <row r="222" spans="1:8" x14ac:dyDescent="0.25">
      <c r="A222" s="21" t="str">
        <f t="shared" si="11"/>
        <v/>
      </c>
      <c r="B222"/>
      <c r="C222"/>
      <c r="F222"/>
      <c r="G222" s="19" t="str">
        <f t="shared" si="9"/>
        <v/>
      </c>
      <c r="H222" s="19" t="str">
        <f t="shared" si="10"/>
        <v/>
      </c>
    </row>
    <row r="223" spans="1:8" x14ac:dyDescent="0.25">
      <c r="A223" s="21" t="str">
        <f t="shared" si="11"/>
        <v/>
      </c>
      <c r="B223"/>
      <c r="C223"/>
      <c r="F223"/>
      <c r="G223" s="19" t="str">
        <f t="shared" si="9"/>
        <v/>
      </c>
      <c r="H223" s="19" t="str">
        <f t="shared" si="10"/>
        <v/>
      </c>
    </row>
    <row r="224" spans="1:8" x14ac:dyDescent="0.25">
      <c r="A224" s="21" t="str">
        <f t="shared" si="11"/>
        <v/>
      </c>
      <c r="B224"/>
      <c r="C224"/>
      <c r="F224"/>
      <c r="G224" s="19" t="str">
        <f t="shared" si="9"/>
        <v/>
      </c>
      <c r="H224" s="19" t="str">
        <f t="shared" si="10"/>
        <v/>
      </c>
    </row>
    <row r="225" spans="1:8" x14ac:dyDescent="0.25">
      <c r="A225" s="21" t="str">
        <f t="shared" si="11"/>
        <v/>
      </c>
      <c r="B225"/>
      <c r="C225"/>
      <c r="F225"/>
      <c r="G225" s="19" t="str">
        <f t="shared" si="9"/>
        <v/>
      </c>
      <c r="H225" s="19" t="str">
        <f t="shared" si="10"/>
        <v/>
      </c>
    </row>
    <row r="226" spans="1:8" x14ac:dyDescent="0.25">
      <c r="A226" s="21" t="str">
        <f t="shared" si="11"/>
        <v/>
      </c>
      <c r="B226"/>
      <c r="C226"/>
      <c r="F226"/>
      <c r="G226" s="19" t="str">
        <f t="shared" si="9"/>
        <v/>
      </c>
      <c r="H226" s="19" t="str">
        <f t="shared" si="10"/>
        <v/>
      </c>
    </row>
    <row r="227" spans="1:8" x14ac:dyDescent="0.25">
      <c r="A227" s="21" t="str">
        <f t="shared" si="11"/>
        <v/>
      </c>
      <c r="B227"/>
      <c r="C227"/>
      <c r="F227"/>
      <c r="G227" s="19" t="str">
        <f t="shared" si="9"/>
        <v/>
      </c>
      <c r="H227" s="19" t="str">
        <f t="shared" si="10"/>
        <v/>
      </c>
    </row>
    <row r="228" spans="1:8" x14ac:dyDescent="0.25">
      <c r="A228" s="21" t="str">
        <f t="shared" si="11"/>
        <v/>
      </c>
      <c r="B228"/>
      <c r="C228"/>
      <c r="F228"/>
      <c r="G228" s="19" t="str">
        <f t="shared" si="9"/>
        <v/>
      </c>
      <c r="H228" s="19" t="str">
        <f t="shared" si="10"/>
        <v/>
      </c>
    </row>
    <row r="229" spans="1:8" x14ac:dyDescent="0.25">
      <c r="A229" s="21" t="str">
        <f t="shared" si="11"/>
        <v/>
      </c>
      <c r="B229"/>
      <c r="C229"/>
      <c r="F229"/>
      <c r="G229" s="19" t="str">
        <f t="shared" si="9"/>
        <v/>
      </c>
      <c r="H229" s="19" t="str">
        <f t="shared" si="10"/>
        <v/>
      </c>
    </row>
    <row r="230" spans="1:8" x14ac:dyDescent="0.25">
      <c r="A230" s="21" t="str">
        <f t="shared" si="11"/>
        <v/>
      </c>
      <c r="B230"/>
      <c r="C230"/>
      <c r="F230"/>
      <c r="G230" s="19" t="str">
        <f t="shared" si="9"/>
        <v/>
      </c>
      <c r="H230" s="19" t="str">
        <f t="shared" si="10"/>
        <v/>
      </c>
    </row>
    <row r="231" spans="1:8" x14ac:dyDescent="0.25">
      <c r="A231" s="21" t="str">
        <f t="shared" si="11"/>
        <v/>
      </c>
      <c r="B231"/>
      <c r="C231"/>
      <c r="F231"/>
      <c r="G231" s="19" t="str">
        <f t="shared" si="9"/>
        <v/>
      </c>
      <c r="H231" s="19" t="str">
        <f t="shared" si="10"/>
        <v/>
      </c>
    </row>
    <row r="232" spans="1:8" x14ac:dyDescent="0.25">
      <c r="A232" s="21" t="str">
        <f t="shared" si="11"/>
        <v/>
      </c>
      <c r="B232"/>
      <c r="C232"/>
      <c r="F232"/>
      <c r="G232" s="19" t="str">
        <f t="shared" si="9"/>
        <v/>
      </c>
      <c r="H232" s="19" t="str">
        <f t="shared" si="10"/>
        <v/>
      </c>
    </row>
    <row r="233" spans="1:8" x14ac:dyDescent="0.25">
      <c r="A233" s="21" t="str">
        <f t="shared" si="11"/>
        <v/>
      </c>
      <c r="B233"/>
      <c r="C233"/>
      <c r="F233"/>
      <c r="G233" s="19" t="str">
        <f t="shared" si="9"/>
        <v/>
      </c>
      <c r="H233" s="19" t="str">
        <f t="shared" si="10"/>
        <v/>
      </c>
    </row>
    <row r="234" spans="1:8" x14ac:dyDescent="0.25">
      <c r="A234" s="21" t="str">
        <f t="shared" si="11"/>
        <v/>
      </c>
      <c r="B234"/>
      <c r="C234"/>
      <c r="F234"/>
      <c r="G234" s="19" t="str">
        <f t="shared" si="9"/>
        <v/>
      </c>
      <c r="H234" s="19" t="str">
        <f t="shared" si="10"/>
        <v/>
      </c>
    </row>
    <row r="235" spans="1:8" x14ac:dyDescent="0.25">
      <c r="A235" s="21" t="str">
        <f t="shared" si="11"/>
        <v/>
      </c>
      <c r="B235"/>
      <c r="C235"/>
      <c r="F235"/>
      <c r="G235" s="19" t="str">
        <f t="shared" si="9"/>
        <v/>
      </c>
      <c r="H235" s="19" t="str">
        <f t="shared" si="10"/>
        <v/>
      </c>
    </row>
    <row r="236" spans="1:8" x14ac:dyDescent="0.25">
      <c r="A236" s="21" t="str">
        <f t="shared" si="11"/>
        <v/>
      </c>
      <c r="B236"/>
      <c r="C236"/>
      <c r="F236"/>
      <c r="G236" s="19" t="str">
        <f t="shared" si="9"/>
        <v/>
      </c>
      <c r="H236" s="19" t="str">
        <f t="shared" si="10"/>
        <v/>
      </c>
    </row>
    <row r="237" spans="1:8" x14ac:dyDescent="0.25">
      <c r="A237" s="21" t="str">
        <f t="shared" si="11"/>
        <v/>
      </c>
      <c r="B237"/>
      <c r="C237"/>
      <c r="F237"/>
      <c r="G237" s="19" t="str">
        <f t="shared" si="9"/>
        <v/>
      </c>
      <c r="H237" s="19" t="str">
        <f t="shared" si="10"/>
        <v/>
      </c>
    </row>
    <row r="238" spans="1:8" x14ac:dyDescent="0.25">
      <c r="A238" s="21" t="str">
        <f t="shared" si="11"/>
        <v/>
      </c>
      <c r="B238"/>
      <c r="C238"/>
      <c r="F238"/>
      <c r="G238" s="19" t="str">
        <f t="shared" si="9"/>
        <v/>
      </c>
      <c r="H238" s="19" t="str">
        <f t="shared" si="10"/>
        <v/>
      </c>
    </row>
    <row r="239" spans="1:8" x14ac:dyDescent="0.25">
      <c r="A239" s="21" t="str">
        <f t="shared" si="11"/>
        <v/>
      </c>
      <c r="B239"/>
      <c r="C239"/>
      <c r="F239"/>
      <c r="G239" s="19" t="str">
        <f t="shared" si="9"/>
        <v/>
      </c>
      <c r="H239" s="19" t="str">
        <f t="shared" si="10"/>
        <v/>
      </c>
    </row>
    <row r="240" spans="1:8" x14ac:dyDescent="0.25">
      <c r="A240" s="21" t="str">
        <f t="shared" si="11"/>
        <v/>
      </c>
      <c r="B240"/>
      <c r="C240"/>
      <c r="F240"/>
      <c r="G240" s="19" t="str">
        <f t="shared" si="9"/>
        <v/>
      </c>
      <c r="H240" s="19" t="str">
        <f t="shared" si="10"/>
        <v/>
      </c>
    </row>
    <row r="241" spans="1:8" x14ac:dyDescent="0.25">
      <c r="A241" s="21" t="str">
        <f t="shared" si="11"/>
        <v/>
      </c>
      <c r="B241"/>
      <c r="C241"/>
      <c r="F241"/>
      <c r="G241" s="19" t="str">
        <f t="shared" si="9"/>
        <v/>
      </c>
      <c r="H241" s="19" t="str">
        <f t="shared" si="10"/>
        <v/>
      </c>
    </row>
    <row r="242" spans="1:8" x14ac:dyDescent="0.25">
      <c r="A242" s="21" t="str">
        <f t="shared" si="11"/>
        <v/>
      </c>
      <c r="B242"/>
      <c r="C242"/>
      <c r="F242"/>
      <c r="G242" s="19" t="str">
        <f t="shared" si="9"/>
        <v/>
      </c>
      <c r="H242" s="19" t="str">
        <f t="shared" si="10"/>
        <v/>
      </c>
    </row>
    <row r="243" spans="1:8" x14ac:dyDescent="0.25">
      <c r="A243" s="21" t="str">
        <f t="shared" si="11"/>
        <v/>
      </c>
      <c r="B243"/>
      <c r="C243"/>
      <c r="F243"/>
      <c r="G243" s="19" t="str">
        <f t="shared" si="9"/>
        <v/>
      </c>
      <c r="H243" s="19" t="str">
        <f t="shared" si="10"/>
        <v/>
      </c>
    </row>
    <row r="244" spans="1:8" x14ac:dyDescent="0.25">
      <c r="A244" s="21" t="str">
        <f t="shared" si="11"/>
        <v/>
      </c>
      <c r="B244"/>
      <c r="C244"/>
      <c r="F244"/>
      <c r="G244" s="19" t="str">
        <f t="shared" si="9"/>
        <v/>
      </c>
      <c r="H244" s="19" t="str">
        <f t="shared" si="10"/>
        <v/>
      </c>
    </row>
    <row r="245" spans="1:8" x14ac:dyDescent="0.25">
      <c r="A245" s="21" t="str">
        <f t="shared" si="11"/>
        <v/>
      </c>
      <c r="B245"/>
      <c r="C245"/>
      <c r="F245"/>
      <c r="G245" s="19" t="str">
        <f t="shared" si="9"/>
        <v/>
      </c>
      <c r="H245" s="19" t="str">
        <f t="shared" si="10"/>
        <v/>
      </c>
    </row>
    <row r="246" spans="1:8" x14ac:dyDescent="0.25">
      <c r="A246" s="21" t="str">
        <f t="shared" si="11"/>
        <v/>
      </c>
      <c r="B246"/>
      <c r="C246"/>
      <c r="F246"/>
      <c r="G246" s="19" t="str">
        <f t="shared" si="9"/>
        <v/>
      </c>
      <c r="H246" s="19" t="str">
        <f t="shared" si="10"/>
        <v/>
      </c>
    </row>
    <row r="247" spans="1:8" x14ac:dyDescent="0.25">
      <c r="A247" s="21" t="str">
        <f t="shared" si="11"/>
        <v/>
      </c>
      <c r="B247"/>
      <c r="C247"/>
      <c r="F247"/>
      <c r="G247" s="19" t="str">
        <f t="shared" si="9"/>
        <v/>
      </c>
      <c r="H247" s="19" t="str">
        <f t="shared" si="10"/>
        <v/>
      </c>
    </row>
    <row r="248" spans="1:8" x14ac:dyDescent="0.25">
      <c r="A248" s="21" t="str">
        <f t="shared" si="11"/>
        <v/>
      </c>
      <c r="B248"/>
      <c r="C248"/>
      <c r="F248"/>
      <c r="G248" s="19" t="str">
        <f t="shared" si="9"/>
        <v/>
      </c>
      <c r="H248" s="19" t="str">
        <f t="shared" si="10"/>
        <v/>
      </c>
    </row>
    <row r="249" spans="1:8" x14ac:dyDescent="0.25">
      <c r="A249" s="21" t="str">
        <f t="shared" si="11"/>
        <v/>
      </c>
      <c r="B249"/>
      <c r="C249"/>
      <c r="F249"/>
      <c r="G249" s="19" t="str">
        <f t="shared" si="9"/>
        <v/>
      </c>
      <c r="H249" s="19" t="str">
        <f t="shared" si="10"/>
        <v/>
      </c>
    </row>
    <row r="250" spans="1:8" x14ac:dyDescent="0.25">
      <c r="A250" s="21" t="str">
        <f t="shared" si="11"/>
        <v/>
      </c>
      <c r="B250"/>
      <c r="C250"/>
      <c r="F250"/>
      <c r="G250" s="19" t="str">
        <f t="shared" si="9"/>
        <v/>
      </c>
      <c r="H250" s="19" t="str">
        <f t="shared" si="10"/>
        <v/>
      </c>
    </row>
    <row r="251" spans="1:8" x14ac:dyDescent="0.25">
      <c r="A251" s="21" t="str">
        <f t="shared" si="11"/>
        <v/>
      </c>
      <c r="B251"/>
      <c r="C251"/>
      <c r="F251"/>
      <c r="G251" s="19" t="str">
        <f t="shared" si="9"/>
        <v/>
      </c>
      <c r="H251" s="19" t="str">
        <f t="shared" si="10"/>
        <v/>
      </c>
    </row>
    <row r="252" spans="1:8" x14ac:dyDescent="0.25">
      <c r="A252" s="21" t="str">
        <f t="shared" si="11"/>
        <v/>
      </c>
      <c r="B252"/>
      <c r="C252"/>
      <c r="F252"/>
      <c r="G252" s="19" t="str">
        <f t="shared" si="9"/>
        <v/>
      </c>
      <c r="H252" s="19" t="str">
        <f t="shared" si="10"/>
        <v/>
      </c>
    </row>
    <row r="253" spans="1:8" x14ac:dyDescent="0.25">
      <c r="A253" s="21" t="str">
        <f t="shared" si="11"/>
        <v/>
      </c>
      <c r="B253"/>
      <c r="C253"/>
      <c r="F253"/>
      <c r="G253" s="19" t="str">
        <f t="shared" si="9"/>
        <v/>
      </c>
      <c r="H253" s="19" t="str">
        <f t="shared" si="10"/>
        <v/>
      </c>
    </row>
    <row r="254" spans="1:8" x14ac:dyDescent="0.25">
      <c r="A254" s="21" t="str">
        <f t="shared" si="11"/>
        <v/>
      </c>
      <c r="B254"/>
      <c r="C254"/>
      <c r="F254"/>
      <c r="G254" s="19" t="str">
        <f t="shared" si="9"/>
        <v/>
      </c>
      <c r="H254" s="19" t="str">
        <f t="shared" si="10"/>
        <v/>
      </c>
    </row>
    <row r="255" spans="1:8" x14ac:dyDescent="0.25">
      <c r="A255" s="21" t="str">
        <f t="shared" si="11"/>
        <v/>
      </c>
      <c r="B255"/>
      <c r="C255"/>
      <c r="F255"/>
      <c r="G255" s="19" t="str">
        <f t="shared" si="9"/>
        <v/>
      </c>
      <c r="H255" s="19" t="str">
        <f t="shared" si="10"/>
        <v/>
      </c>
    </row>
    <row r="256" spans="1:8" x14ac:dyDescent="0.25">
      <c r="A256" s="21" t="str">
        <f t="shared" si="11"/>
        <v/>
      </c>
      <c r="B256"/>
      <c r="C256"/>
      <c r="F256"/>
      <c r="G256" s="19" t="str">
        <f t="shared" si="9"/>
        <v/>
      </c>
      <c r="H256" s="19" t="str">
        <f t="shared" si="10"/>
        <v/>
      </c>
    </row>
    <row r="257" spans="1:8" x14ac:dyDescent="0.25">
      <c r="A257" s="21" t="str">
        <f t="shared" si="11"/>
        <v/>
      </c>
      <c r="B257"/>
      <c r="C257"/>
      <c r="F257"/>
      <c r="G257" s="19" t="str">
        <f t="shared" si="9"/>
        <v/>
      </c>
      <c r="H257" s="19" t="str">
        <f t="shared" si="10"/>
        <v/>
      </c>
    </row>
    <row r="258" spans="1:8" x14ac:dyDescent="0.25">
      <c r="A258" s="21" t="str">
        <f t="shared" si="11"/>
        <v/>
      </c>
      <c r="B258"/>
      <c r="C258"/>
      <c r="F258"/>
      <c r="G258" s="19" t="str">
        <f t="shared" si="9"/>
        <v/>
      </c>
      <c r="H258" s="19" t="str">
        <f t="shared" si="10"/>
        <v/>
      </c>
    </row>
    <row r="259" spans="1:8" x14ac:dyDescent="0.25">
      <c r="A259" s="21" t="str">
        <f t="shared" si="11"/>
        <v/>
      </c>
      <c r="B259"/>
      <c r="C259"/>
      <c r="F259"/>
      <c r="G259" s="19" t="str">
        <f t="shared" si="9"/>
        <v/>
      </c>
      <c r="H259" s="19" t="str">
        <f t="shared" si="10"/>
        <v/>
      </c>
    </row>
    <row r="260" spans="1:8" x14ac:dyDescent="0.25">
      <c r="A260" s="21" t="str">
        <f t="shared" si="11"/>
        <v/>
      </c>
      <c r="B260"/>
      <c r="C260"/>
      <c r="F260"/>
      <c r="G260" s="19" t="str">
        <f t="shared" ref="G260:G323" si="12">IFERROR(VLOOKUP(F260,$A$3:$C$1002,2,FALSE),"")</f>
        <v/>
      </c>
      <c r="H260" s="19" t="str">
        <f t="shared" ref="H260:H323" si="13">IFERROR(VLOOKUP(F260,$A$3:$C$1002,3,FALSE),"")</f>
        <v/>
      </c>
    </row>
    <row r="261" spans="1:8" x14ac:dyDescent="0.25">
      <c r="A261" s="21" t="str">
        <f t="shared" ref="A261:A324" si="14">IF(LEN(B261)&gt;0,RANK(C261,C$3:C$1002,0),"")</f>
        <v/>
      </c>
      <c r="B261"/>
      <c r="C261"/>
      <c r="F261"/>
      <c r="G261" s="19" t="str">
        <f t="shared" si="12"/>
        <v/>
      </c>
      <c r="H261" s="19" t="str">
        <f t="shared" si="13"/>
        <v/>
      </c>
    </row>
    <row r="262" spans="1:8" x14ac:dyDescent="0.25">
      <c r="A262" s="21" t="str">
        <f t="shared" si="14"/>
        <v/>
      </c>
      <c r="B262"/>
      <c r="C262"/>
      <c r="F262"/>
      <c r="G262" s="19" t="str">
        <f t="shared" si="12"/>
        <v/>
      </c>
      <c r="H262" s="19" t="str">
        <f t="shared" si="13"/>
        <v/>
      </c>
    </row>
    <row r="263" spans="1:8" x14ac:dyDescent="0.25">
      <c r="A263" s="21" t="str">
        <f t="shared" si="14"/>
        <v/>
      </c>
      <c r="B263"/>
      <c r="C263"/>
      <c r="F263"/>
      <c r="G263" s="19" t="str">
        <f t="shared" si="12"/>
        <v/>
      </c>
      <c r="H263" s="19" t="str">
        <f t="shared" si="13"/>
        <v/>
      </c>
    </row>
    <row r="264" spans="1:8" x14ac:dyDescent="0.25">
      <c r="A264" s="21" t="str">
        <f t="shared" si="14"/>
        <v/>
      </c>
      <c r="B264"/>
      <c r="C264"/>
      <c r="F264"/>
      <c r="G264" s="19" t="str">
        <f t="shared" si="12"/>
        <v/>
      </c>
      <c r="H264" s="19" t="str">
        <f t="shared" si="13"/>
        <v/>
      </c>
    </row>
    <row r="265" spans="1:8" x14ac:dyDescent="0.25">
      <c r="A265" s="21" t="str">
        <f t="shared" si="14"/>
        <v/>
      </c>
      <c r="B265"/>
      <c r="C265"/>
      <c r="F265"/>
      <c r="G265" s="19" t="str">
        <f t="shared" si="12"/>
        <v/>
      </c>
      <c r="H265" s="19" t="str">
        <f t="shared" si="13"/>
        <v/>
      </c>
    </row>
    <row r="266" spans="1:8" x14ac:dyDescent="0.25">
      <c r="A266" s="21" t="str">
        <f t="shared" si="14"/>
        <v/>
      </c>
      <c r="B266"/>
      <c r="C266"/>
      <c r="F266"/>
      <c r="G266" s="19" t="str">
        <f t="shared" si="12"/>
        <v/>
      </c>
      <c r="H266" s="19" t="str">
        <f t="shared" si="13"/>
        <v/>
      </c>
    </row>
    <row r="267" spans="1:8" x14ac:dyDescent="0.25">
      <c r="A267" s="21" t="str">
        <f t="shared" si="14"/>
        <v/>
      </c>
      <c r="B267"/>
      <c r="C267"/>
      <c r="F267"/>
      <c r="G267" s="19" t="str">
        <f t="shared" si="12"/>
        <v/>
      </c>
      <c r="H267" s="19" t="str">
        <f t="shared" si="13"/>
        <v/>
      </c>
    </row>
    <row r="268" spans="1:8" x14ac:dyDescent="0.25">
      <c r="A268" s="21" t="str">
        <f t="shared" si="14"/>
        <v/>
      </c>
      <c r="B268"/>
      <c r="C268"/>
      <c r="F268"/>
      <c r="G268" s="19" t="str">
        <f t="shared" si="12"/>
        <v/>
      </c>
      <c r="H268" s="19" t="str">
        <f t="shared" si="13"/>
        <v/>
      </c>
    </row>
    <row r="269" spans="1:8" x14ac:dyDescent="0.25">
      <c r="A269" s="21" t="str">
        <f t="shared" si="14"/>
        <v/>
      </c>
      <c r="B269"/>
      <c r="C269"/>
      <c r="F269"/>
      <c r="G269" s="19" t="str">
        <f t="shared" si="12"/>
        <v/>
      </c>
      <c r="H269" s="19" t="str">
        <f t="shared" si="13"/>
        <v/>
      </c>
    </row>
    <row r="270" spans="1:8" x14ac:dyDescent="0.25">
      <c r="A270" s="21" t="str">
        <f t="shared" si="14"/>
        <v/>
      </c>
      <c r="B270"/>
      <c r="C270"/>
      <c r="F270"/>
      <c r="G270" s="19" t="str">
        <f t="shared" si="12"/>
        <v/>
      </c>
      <c r="H270" s="19" t="str">
        <f t="shared" si="13"/>
        <v/>
      </c>
    </row>
    <row r="271" spans="1:8" x14ac:dyDescent="0.25">
      <c r="A271" s="21" t="str">
        <f t="shared" si="14"/>
        <v/>
      </c>
      <c r="B271"/>
      <c r="C271"/>
      <c r="F271"/>
      <c r="G271" s="19" t="str">
        <f t="shared" si="12"/>
        <v/>
      </c>
      <c r="H271" s="19" t="str">
        <f t="shared" si="13"/>
        <v/>
      </c>
    </row>
    <row r="272" spans="1:8" x14ac:dyDescent="0.25">
      <c r="A272" s="21" t="str">
        <f t="shared" si="14"/>
        <v/>
      </c>
      <c r="B272"/>
      <c r="C272"/>
      <c r="F272"/>
      <c r="G272" s="19" t="str">
        <f t="shared" si="12"/>
        <v/>
      </c>
      <c r="H272" s="19" t="str">
        <f t="shared" si="13"/>
        <v/>
      </c>
    </row>
    <row r="273" spans="1:8" x14ac:dyDescent="0.25">
      <c r="A273" s="21" t="str">
        <f t="shared" si="14"/>
        <v/>
      </c>
      <c r="B273"/>
      <c r="C273"/>
      <c r="F273"/>
      <c r="G273" s="19" t="str">
        <f t="shared" si="12"/>
        <v/>
      </c>
      <c r="H273" s="19" t="str">
        <f t="shared" si="13"/>
        <v/>
      </c>
    </row>
    <row r="274" spans="1:8" x14ac:dyDescent="0.25">
      <c r="A274" s="21" t="str">
        <f t="shared" si="14"/>
        <v/>
      </c>
      <c r="B274"/>
      <c r="C274"/>
      <c r="F274"/>
      <c r="G274" s="19" t="str">
        <f t="shared" si="12"/>
        <v/>
      </c>
      <c r="H274" s="19" t="str">
        <f t="shared" si="13"/>
        <v/>
      </c>
    </row>
    <row r="275" spans="1:8" x14ac:dyDescent="0.25">
      <c r="A275" s="21" t="str">
        <f t="shared" si="14"/>
        <v/>
      </c>
      <c r="B275"/>
      <c r="C275"/>
      <c r="F275"/>
      <c r="G275" s="19" t="str">
        <f t="shared" si="12"/>
        <v/>
      </c>
      <c r="H275" s="19" t="str">
        <f t="shared" si="13"/>
        <v/>
      </c>
    </row>
    <row r="276" spans="1:8" x14ac:dyDescent="0.25">
      <c r="A276" s="21" t="str">
        <f t="shared" si="14"/>
        <v/>
      </c>
      <c r="B276"/>
      <c r="C276"/>
      <c r="F276"/>
      <c r="G276" s="19" t="str">
        <f t="shared" si="12"/>
        <v/>
      </c>
      <c r="H276" s="19" t="str">
        <f t="shared" si="13"/>
        <v/>
      </c>
    </row>
    <row r="277" spans="1:8" x14ac:dyDescent="0.25">
      <c r="A277" s="21" t="str">
        <f t="shared" si="14"/>
        <v/>
      </c>
      <c r="B277"/>
      <c r="C277"/>
      <c r="F277"/>
      <c r="G277" s="19" t="str">
        <f t="shared" si="12"/>
        <v/>
      </c>
      <c r="H277" s="19" t="str">
        <f t="shared" si="13"/>
        <v/>
      </c>
    </row>
    <row r="278" spans="1:8" x14ac:dyDescent="0.25">
      <c r="A278" s="21" t="str">
        <f t="shared" si="14"/>
        <v/>
      </c>
      <c r="B278"/>
      <c r="C278"/>
      <c r="F278"/>
      <c r="G278" s="19" t="str">
        <f t="shared" si="12"/>
        <v/>
      </c>
      <c r="H278" s="19" t="str">
        <f t="shared" si="13"/>
        <v/>
      </c>
    </row>
    <row r="279" spans="1:8" x14ac:dyDescent="0.25">
      <c r="A279" s="21" t="str">
        <f t="shared" si="14"/>
        <v/>
      </c>
      <c r="B279"/>
      <c r="C279"/>
      <c r="F279"/>
      <c r="G279" s="19" t="str">
        <f t="shared" si="12"/>
        <v/>
      </c>
      <c r="H279" s="19" t="str">
        <f t="shared" si="13"/>
        <v/>
      </c>
    </row>
    <row r="280" spans="1:8" x14ac:dyDescent="0.25">
      <c r="A280" s="21" t="str">
        <f t="shared" si="14"/>
        <v/>
      </c>
      <c r="B280"/>
      <c r="C280"/>
      <c r="F280"/>
      <c r="G280" s="19" t="str">
        <f t="shared" si="12"/>
        <v/>
      </c>
      <c r="H280" s="19" t="str">
        <f t="shared" si="13"/>
        <v/>
      </c>
    </row>
    <row r="281" spans="1:8" x14ac:dyDescent="0.25">
      <c r="A281" s="21" t="str">
        <f t="shared" si="14"/>
        <v/>
      </c>
      <c r="B281"/>
      <c r="C281"/>
      <c r="F281"/>
      <c r="G281" s="19" t="str">
        <f t="shared" si="12"/>
        <v/>
      </c>
      <c r="H281" s="19" t="str">
        <f t="shared" si="13"/>
        <v/>
      </c>
    </row>
    <row r="282" spans="1:8" x14ac:dyDescent="0.25">
      <c r="A282" s="21" t="str">
        <f t="shared" si="14"/>
        <v/>
      </c>
      <c r="B282"/>
      <c r="C282"/>
      <c r="F282"/>
      <c r="G282" s="19" t="str">
        <f t="shared" si="12"/>
        <v/>
      </c>
      <c r="H282" s="19" t="str">
        <f t="shared" si="13"/>
        <v/>
      </c>
    </row>
    <row r="283" spans="1:8" x14ac:dyDescent="0.25">
      <c r="A283" s="21" t="str">
        <f t="shared" si="14"/>
        <v/>
      </c>
      <c r="B283"/>
      <c r="C283"/>
      <c r="F283"/>
      <c r="G283" s="19" t="str">
        <f t="shared" si="12"/>
        <v/>
      </c>
      <c r="H283" s="19" t="str">
        <f t="shared" si="13"/>
        <v/>
      </c>
    </row>
    <row r="284" spans="1:8" x14ac:dyDescent="0.25">
      <c r="A284" s="21" t="str">
        <f t="shared" si="14"/>
        <v/>
      </c>
      <c r="B284"/>
      <c r="C284"/>
      <c r="F284"/>
      <c r="G284" s="19" t="str">
        <f t="shared" si="12"/>
        <v/>
      </c>
      <c r="H284" s="19" t="str">
        <f t="shared" si="13"/>
        <v/>
      </c>
    </row>
    <row r="285" spans="1:8" x14ac:dyDescent="0.25">
      <c r="A285" s="21" t="str">
        <f t="shared" si="14"/>
        <v/>
      </c>
      <c r="B285"/>
      <c r="C285"/>
      <c r="F285"/>
      <c r="G285" s="19" t="str">
        <f t="shared" si="12"/>
        <v/>
      </c>
      <c r="H285" s="19" t="str">
        <f t="shared" si="13"/>
        <v/>
      </c>
    </row>
    <row r="286" spans="1:8" x14ac:dyDescent="0.25">
      <c r="A286" s="21" t="str">
        <f t="shared" si="14"/>
        <v/>
      </c>
      <c r="B286"/>
      <c r="C286"/>
      <c r="F286"/>
      <c r="G286" s="19" t="str">
        <f t="shared" si="12"/>
        <v/>
      </c>
      <c r="H286" s="19" t="str">
        <f t="shared" si="13"/>
        <v/>
      </c>
    </row>
    <row r="287" spans="1:8" x14ac:dyDescent="0.25">
      <c r="A287" s="21" t="str">
        <f t="shared" si="14"/>
        <v/>
      </c>
      <c r="B287"/>
      <c r="C287"/>
      <c r="F287"/>
      <c r="G287" s="19" t="str">
        <f t="shared" si="12"/>
        <v/>
      </c>
      <c r="H287" s="19" t="str">
        <f t="shared" si="13"/>
        <v/>
      </c>
    </row>
    <row r="288" spans="1:8" x14ac:dyDescent="0.25">
      <c r="A288" s="21" t="str">
        <f t="shared" si="14"/>
        <v/>
      </c>
      <c r="B288"/>
      <c r="C288"/>
      <c r="F288"/>
      <c r="G288" s="19" t="str">
        <f t="shared" si="12"/>
        <v/>
      </c>
      <c r="H288" s="19" t="str">
        <f t="shared" si="13"/>
        <v/>
      </c>
    </row>
    <row r="289" spans="1:8" x14ac:dyDescent="0.25">
      <c r="A289" s="21" t="str">
        <f t="shared" si="14"/>
        <v/>
      </c>
      <c r="B289"/>
      <c r="C289"/>
      <c r="F289"/>
      <c r="G289" s="19" t="str">
        <f t="shared" si="12"/>
        <v/>
      </c>
      <c r="H289" s="19" t="str">
        <f t="shared" si="13"/>
        <v/>
      </c>
    </row>
    <row r="290" spans="1:8" x14ac:dyDescent="0.25">
      <c r="A290" s="21" t="str">
        <f t="shared" si="14"/>
        <v/>
      </c>
      <c r="B290"/>
      <c r="C290"/>
      <c r="F290"/>
      <c r="G290" s="19" t="str">
        <f t="shared" si="12"/>
        <v/>
      </c>
      <c r="H290" s="19" t="str">
        <f t="shared" si="13"/>
        <v/>
      </c>
    </row>
    <row r="291" spans="1:8" x14ac:dyDescent="0.25">
      <c r="A291" s="21" t="str">
        <f t="shared" si="14"/>
        <v/>
      </c>
      <c r="B291"/>
      <c r="C291"/>
      <c r="F291"/>
      <c r="G291" s="19" t="str">
        <f t="shared" si="12"/>
        <v/>
      </c>
      <c r="H291" s="19" t="str">
        <f t="shared" si="13"/>
        <v/>
      </c>
    </row>
    <row r="292" spans="1:8" x14ac:dyDescent="0.25">
      <c r="A292" s="21" t="str">
        <f t="shared" si="14"/>
        <v/>
      </c>
      <c r="B292"/>
      <c r="C292"/>
      <c r="F292"/>
      <c r="G292" s="19" t="str">
        <f t="shared" si="12"/>
        <v/>
      </c>
      <c r="H292" s="19" t="str">
        <f t="shared" si="13"/>
        <v/>
      </c>
    </row>
    <row r="293" spans="1:8" x14ac:dyDescent="0.25">
      <c r="A293" s="21" t="str">
        <f t="shared" si="14"/>
        <v/>
      </c>
      <c r="B293"/>
      <c r="C293"/>
      <c r="F293"/>
      <c r="G293" s="19" t="str">
        <f t="shared" si="12"/>
        <v/>
      </c>
      <c r="H293" s="19" t="str">
        <f t="shared" si="13"/>
        <v/>
      </c>
    </row>
    <row r="294" spans="1:8" x14ac:dyDescent="0.25">
      <c r="A294" s="21" t="str">
        <f t="shared" si="14"/>
        <v/>
      </c>
      <c r="B294"/>
      <c r="C294"/>
      <c r="F294"/>
      <c r="G294" s="19" t="str">
        <f t="shared" si="12"/>
        <v/>
      </c>
      <c r="H294" s="19" t="str">
        <f t="shared" si="13"/>
        <v/>
      </c>
    </row>
    <row r="295" spans="1:8" x14ac:dyDescent="0.25">
      <c r="A295" s="21" t="str">
        <f t="shared" si="14"/>
        <v/>
      </c>
      <c r="B295"/>
      <c r="C295"/>
      <c r="F295"/>
      <c r="G295" s="19" t="str">
        <f t="shared" si="12"/>
        <v/>
      </c>
      <c r="H295" s="19" t="str">
        <f t="shared" si="13"/>
        <v/>
      </c>
    </row>
    <row r="296" spans="1:8" x14ac:dyDescent="0.25">
      <c r="A296" s="21" t="str">
        <f t="shared" si="14"/>
        <v/>
      </c>
      <c r="B296"/>
      <c r="C296"/>
      <c r="F296"/>
      <c r="G296" s="19" t="str">
        <f t="shared" si="12"/>
        <v/>
      </c>
      <c r="H296" s="19" t="str">
        <f t="shared" si="13"/>
        <v/>
      </c>
    </row>
    <row r="297" spans="1:8" x14ac:dyDescent="0.25">
      <c r="A297" s="21" t="str">
        <f t="shared" si="14"/>
        <v/>
      </c>
      <c r="B297"/>
      <c r="C297"/>
      <c r="F297"/>
      <c r="G297" s="19" t="str">
        <f t="shared" si="12"/>
        <v/>
      </c>
      <c r="H297" s="19" t="str">
        <f t="shared" si="13"/>
        <v/>
      </c>
    </row>
    <row r="298" spans="1:8" x14ac:dyDescent="0.25">
      <c r="A298" s="21" t="str">
        <f t="shared" si="14"/>
        <v/>
      </c>
      <c r="B298"/>
      <c r="C298"/>
      <c r="F298"/>
      <c r="G298" s="19" t="str">
        <f t="shared" si="12"/>
        <v/>
      </c>
      <c r="H298" s="19" t="str">
        <f t="shared" si="13"/>
        <v/>
      </c>
    </row>
    <row r="299" spans="1:8" x14ac:dyDescent="0.25">
      <c r="A299" s="21" t="str">
        <f t="shared" si="14"/>
        <v/>
      </c>
      <c r="B299"/>
      <c r="C299"/>
      <c r="F299"/>
      <c r="G299" s="19" t="str">
        <f t="shared" si="12"/>
        <v/>
      </c>
      <c r="H299" s="19" t="str">
        <f t="shared" si="13"/>
        <v/>
      </c>
    </row>
    <row r="300" spans="1:8" x14ac:dyDescent="0.25">
      <c r="A300" s="21" t="str">
        <f t="shared" si="14"/>
        <v/>
      </c>
      <c r="B300"/>
      <c r="C300"/>
      <c r="F300"/>
      <c r="G300" s="19" t="str">
        <f t="shared" si="12"/>
        <v/>
      </c>
      <c r="H300" s="19" t="str">
        <f t="shared" si="13"/>
        <v/>
      </c>
    </row>
    <row r="301" spans="1:8" x14ac:dyDescent="0.25">
      <c r="A301" s="21" t="str">
        <f t="shared" si="14"/>
        <v/>
      </c>
      <c r="B301"/>
      <c r="C301"/>
      <c r="F301"/>
      <c r="G301" s="19" t="str">
        <f t="shared" si="12"/>
        <v/>
      </c>
      <c r="H301" s="19" t="str">
        <f t="shared" si="13"/>
        <v/>
      </c>
    </row>
    <row r="302" spans="1:8" x14ac:dyDescent="0.25">
      <c r="A302" s="21" t="str">
        <f t="shared" si="14"/>
        <v/>
      </c>
      <c r="B302"/>
      <c r="C302"/>
      <c r="F302"/>
      <c r="G302" s="19" t="str">
        <f t="shared" si="12"/>
        <v/>
      </c>
      <c r="H302" s="19" t="str">
        <f t="shared" si="13"/>
        <v/>
      </c>
    </row>
    <row r="303" spans="1:8" x14ac:dyDescent="0.25">
      <c r="A303" s="21" t="str">
        <f t="shared" si="14"/>
        <v/>
      </c>
      <c r="B303"/>
      <c r="C303"/>
      <c r="F303"/>
      <c r="G303" s="19" t="str">
        <f t="shared" si="12"/>
        <v/>
      </c>
      <c r="H303" s="19" t="str">
        <f t="shared" si="13"/>
        <v/>
      </c>
    </row>
    <row r="304" spans="1:8" x14ac:dyDescent="0.25">
      <c r="A304" s="21" t="str">
        <f t="shared" si="14"/>
        <v/>
      </c>
      <c r="B304"/>
      <c r="C304"/>
      <c r="F304"/>
      <c r="G304" s="19" t="str">
        <f t="shared" si="12"/>
        <v/>
      </c>
      <c r="H304" s="19" t="str">
        <f t="shared" si="13"/>
        <v/>
      </c>
    </row>
    <row r="305" spans="1:8" x14ac:dyDescent="0.25">
      <c r="A305" s="21" t="str">
        <f t="shared" si="14"/>
        <v/>
      </c>
      <c r="B305"/>
      <c r="C305"/>
      <c r="F305"/>
      <c r="G305" s="19" t="str">
        <f t="shared" si="12"/>
        <v/>
      </c>
      <c r="H305" s="19" t="str">
        <f t="shared" si="13"/>
        <v/>
      </c>
    </row>
    <row r="306" spans="1:8" x14ac:dyDescent="0.25">
      <c r="A306" s="21" t="str">
        <f t="shared" si="14"/>
        <v/>
      </c>
      <c r="B306"/>
      <c r="C306"/>
      <c r="F306"/>
      <c r="G306" s="19" t="str">
        <f t="shared" si="12"/>
        <v/>
      </c>
      <c r="H306" s="19" t="str">
        <f t="shared" si="13"/>
        <v/>
      </c>
    </row>
    <row r="307" spans="1:8" x14ac:dyDescent="0.25">
      <c r="A307" s="21" t="str">
        <f t="shared" si="14"/>
        <v/>
      </c>
      <c r="B307"/>
      <c r="C307"/>
      <c r="F307"/>
      <c r="G307" s="19" t="str">
        <f t="shared" si="12"/>
        <v/>
      </c>
      <c r="H307" s="19" t="str">
        <f t="shared" si="13"/>
        <v/>
      </c>
    </row>
    <row r="308" spans="1:8" x14ac:dyDescent="0.25">
      <c r="A308" s="21" t="str">
        <f t="shared" si="14"/>
        <v/>
      </c>
      <c r="B308"/>
      <c r="C308"/>
      <c r="F308"/>
      <c r="G308" s="19" t="str">
        <f t="shared" si="12"/>
        <v/>
      </c>
      <c r="H308" s="19" t="str">
        <f t="shared" si="13"/>
        <v/>
      </c>
    </row>
    <row r="309" spans="1:8" x14ac:dyDescent="0.25">
      <c r="A309" s="21" t="str">
        <f t="shared" si="14"/>
        <v/>
      </c>
      <c r="B309"/>
      <c r="C309"/>
      <c r="F309"/>
      <c r="G309" s="19" t="str">
        <f t="shared" si="12"/>
        <v/>
      </c>
      <c r="H309" s="19" t="str">
        <f t="shared" si="13"/>
        <v/>
      </c>
    </row>
    <row r="310" spans="1:8" x14ac:dyDescent="0.25">
      <c r="A310" s="21" t="str">
        <f t="shared" si="14"/>
        <v/>
      </c>
      <c r="B310"/>
      <c r="C310"/>
      <c r="F310"/>
      <c r="G310" s="19" t="str">
        <f t="shared" si="12"/>
        <v/>
      </c>
      <c r="H310" s="19" t="str">
        <f t="shared" si="13"/>
        <v/>
      </c>
    </row>
    <row r="311" spans="1:8" x14ac:dyDescent="0.25">
      <c r="A311" s="21" t="str">
        <f t="shared" si="14"/>
        <v/>
      </c>
      <c r="B311"/>
      <c r="C311"/>
      <c r="F311"/>
      <c r="G311" s="19" t="str">
        <f t="shared" si="12"/>
        <v/>
      </c>
      <c r="H311" s="19" t="str">
        <f t="shared" si="13"/>
        <v/>
      </c>
    </row>
    <row r="312" spans="1:8" x14ac:dyDescent="0.25">
      <c r="A312" s="21" t="str">
        <f t="shared" si="14"/>
        <v/>
      </c>
      <c r="B312"/>
      <c r="C312"/>
      <c r="F312"/>
      <c r="G312" s="19" t="str">
        <f t="shared" si="12"/>
        <v/>
      </c>
      <c r="H312" s="19" t="str">
        <f t="shared" si="13"/>
        <v/>
      </c>
    </row>
    <row r="313" spans="1:8" x14ac:dyDescent="0.25">
      <c r="A313" s="21" t="str">
        <f t="shared" si="14"/>
        <v/>
      </c>
      <c r="B313"/>
      <c r="C313"/>
      <c r="F313"/>
      <c r="G313" s="19" t="str">
        <f t="shared" si="12"/>
        <v/>
      </c>
      <c r="H313" s="19" t="str">
        <f t="shared" si="13"/>
        <v/>
      </c>
    </row>
    <row r="314" spans="1:8" x14ac:dyDescent="0.25">
      <c r="A314" s="21" t="str">
        <f t="shared" si="14"/>
        <v/>
      </c>
      <c r="B314"/>
      <c r="C314"/>
      <c r="F314"/>
      <c r="G314" s="19" t="str">
        <f t="shared" si="12"/>
        <v/>
      </c>
      <c r="H314" s="19" t="str">
        <f t="shared" si="13"/>
        <v/>
      </c>
    </row>
    <row r="315" spans="1:8" x14ac:dyDescent="0.25">
      <c r="A315" s="21" t="str">
        <f t="shared" si="14"/>
        <v/>
      </c>
      <c r="B315"/>
      <c r="C315"/>
      <c r="F315"/>
      <c r="G315" s="19" t="str">
        <f t="shared" si="12"/>
        <v/>
      </c>
      <c r="H315" s="19" t="str">
        <f t="shared" si="13"/>
        <v/>
      </c>
    </row>
    <row r="316" spans="1:8" x14ac:dyDescent="0.25">
      <c r="A316" s="21" t="str">
        <f t="shared" si="14"/>
        <v/>
      </c>
      <c r="B316"/>
      <c r="C316"/>
      <c r="F316"/>
      <c r="G316" s="19" t="str">
        <f t="shared" si="12"/>
        <v/>
      </c>
      <c r="H316" s="19" t="str">
        <f t="shared" si="13"/>
        <v/>
      </c>
    </row>
    <row r="317" spans="1:8" x14ac:dyDescent="0.25">
      <c r="A317" s="21" t="str">
        <f t="shared" si="14"/>
        <v/>
      </c>
      <c r="B317"/>
      <c r="C317"/>
      <c r="F317"/>
      <c r="G317" s="19" t="str">
        <f t="shared" si="12"/>
        <v/>
      </c>
      <c r="H317" s="19" t="str">
        <f t="shared" si="13"/>
        <v/>
      </c>
    </row>
    <row r="318" spans="1:8" x14ac:dyDescent="0.25">
      <c r="A318" s="21" t="str">
        <f t="shared" si="14"/>
        <v/>
      </c>
      <c r="B318"/>
      <c r="C318"/>
      <c r="F318"/>
      <c r="G318" s="19" t="str">
        <f t="shared" si="12"/>
        <v/>
      </c>
      <c r="H318" s="19" t="str">
        <f t="shared" si="13"/>
        <v/>
      </c>
    </row>
    <row r="319" spans="1:8" x14ac:dyDescent="0.25">
      <c r="A319" s="21" t="str">
        <f t="shared" si="14"/>
        <v/>
      </c>
      <c r="B319"/>
      <c r="C319"/>
      <c r="F319"/>
      <c r="G319" s="19" t="str">
        <f t="shared" si="12"/>
        <v/>
      </c>
      <c r="H319" s="19" t="str">
        <f t="shared" si="13"/>
        <v/>
      </c>
    </row>
    <row r="320" spans="1:8" x14ac:dyDescent="0.25">
      <c r="A320" s="21" t="str">
        <f t="shared" si="14"/>
        <v/>
      </c>
      <c r="B320"/>
      <c r="C320"/>
      <c r="F320"/>
      <c r="G320" s="19" t="str">
        <f t="shared" si="12"/>
        <v/>
      </c>
      <c r="H320" s="19" t="str">
        <f t="shared" si="13"/>
        <v/>
      </c>
    </row>
    <row r="321" spans="1:8" x14ac:dyDescent="0.25">
      <c r="A321" s="21" t="str">
        <f t="shared" si="14"/>
        <v/>
      </c>
      <c r="B321"/>
      <c r="C321"/>
      <c r="F321"/>
      <c r="G321" s="19" t="str">
        <f t="shared" si="12"/>
        <v/>
      </c>
      <c r="H321" s="19" t="str">
        <f t="shared" si="13"/>
        <v/>
      </c>
    </row>
    <row r="322" spans="1:8" x14ac:dyDescent="0.25">
      <c r="A322" s="21" t="str">
        <f t="shared" si="14"/>
        <v/>
      </c>
      <c r="B322"/>
      <c r="C322"/>
      <c r="F322"/>
      <c r="G322" s="19" t="str">
        <f t="shared" si="12"/>
        <v/>
      </c>
      <c r="H322" s="19" t="str">
        <f t="shared" si="13"/>
        <v/>
      </c>
    </row>
    <row r="323" spans="1:8" x14ac:dyDescent="0.25">
      <c r="A323" s="21" t="str">
        <f t="shared" si="14"/>
        <v/>
      </c>
      <c r="B323"/>
      <c r="C323"/>
      <c r="F323"/>
      <c r="G323" s="19" t="str">
        <f t="shared" si="12"/>
        <v/>
      </c>
      <c r="H323" s="19" t="str">
        <f t="shared" si="13"/>
        <v/>
      </c>
    </row>
    <row r="324" spans="1:8" x14ac:dyDescent="0.25">
      <c r="A324" s="21" t="str">
        <f t="shared" si="14"/>
        <v/>
      </c>
      <c r="B324"/>
      <c r="C324"/>
      <c r="F324"/>
      <c r="G324" s="19" t="str">
        <f t="shared" ref="G324:G387" si="15">IFERROR(VLOOKUP(F324,$A$3:$C$1002,2,FALSE),"")</f>
        <v/>
      </c>
      <c r="H324" s="19" t="str">
        <f t="shared" ref="H324:H387" si="16">IFERROR(VLOOKUP(F324,$A$3:$C$1002,3,FALSE),"")</f>
        <v/>
      </c>
    </row>
    <row r="325" spans="1:8" x14ac:dyDescent="0.25">
      <c r="A325" s="21" t="str">
        <f t="shared" ref="A325:A388" si="17">IF(LEN(B325)&gt;0,RANK(C325,C$3:C$1002,0),"")</f>
        <v/>
      </c>
      <c r="B325"/>
      <c r="C325"/>
      <c r="F325"/>
      <c r="G325" s="19" t="str">
        <f t="shared" si="15"/>
        <v/>
      </c>
      <c r="H325" s="19" t="str">
        <f t="shared" si="16"/>
        <v/>
      </c>
    </row>
    <row r="326" spans="1:8" x14ac:dyDescent="0.25">
      <c r="A326" s="21" t="str">
        <f t="shared" si="17"/>
        <v/>
      </c>
      <c r="B326"/>
      <c r="C326"/>
      <c r="F326"/>
      <c r="G326" s="19" t="str">
        <f t="shared" si="15"/>
        <v/>
      </c>
      <c r="H326" s="19" t="str">
        <f t="shared" si="16"/>
        <v/>
      </c>
    </row>
    <row r="327" spans="1:8" x14ac:dyDescent="0.25">
      <c r="A327" s="21" t="str">
        <f t="shared" si="17"/>
        <v/>
      </c>
      <c r="B327"/>
      <c r="C327"/>
      <c r="F327"/>
      <c r="G327" s="19" t="str">
        <f t="shared" si="15"/>
        <v/>
      </c>
      <c r="H327" s="19" t="str">
        <f t="shared" si="16"/>
        <v/>
      </c>
    </row>
    <row r="328" spans="1:8" x14ac:dyDescent="0.25">
      <c r="A328" s="21" t="str">
        <f t="shared" si="17"/>
        <v/>
      </c>
      <c r="B328"/>
      <c r="C328"/>
      <c r="F328"/>
      <c r="G328" s="19" t="str">
        <f t="shared" si="15"/>
        <v/>
      </c>
      <c r="H328" s="19" t="str">
        <f t="shared" si="16"/>
        <v/>
      </c>
    </row>
    <row r="329" spans="1:8" x14ac:dyDescent="0.25">
      <c r="A329" s="21" t="str">
        <f t="shared" si="17"/>
        <v/>
      </c>
      <c r="B329"/>
      <c r="C329"/>
      <c r="F329"/>
      <c r="G329" s="19" t="str">
        <f t="shared" si="15"/>
        <v/>
      </c>
      <c r="H329" s="19" t="str">
        <f t="shared" si="16"/>
        <v/>
      </c>
    </row>
    <row r="330" spans="1:8" x14ac:dyDescent="0.25">
      <c r="A330" s="21" t="str">
        <f t="shared" si="17"/>
        <v/>
      </c>
      <c r="B330"/>
      <c r="C330"/>
      <c r="F330"/>
      <c r="G330" s="19" t="str">
        <f t="shared" si="15"/>
        <v/>
      </c>
      <c r="H330" s="19" t="str">
        <f t="shared" si="16"/>
        <v/>
      </c>
    </row>
    <row r="331" spans="1:8" x14ac:dyDescent="0.25">
      <c r="A331" s="21" t="str">
        <f t="shared" si="17"/>
        <v/>
      </c>
      <c r="B331"/>
      <c r="C331"/>
      <c r="F331"/>
      <c r="G331" s="19" t="str">
        <f t="shared" si="15"/>
        <v/>
      </c>
      <c r="H331" s="19" t="str">
        <f t="shared" si="16"/>
        <v/>
      </c>
    </row>
    <row r="332" spans="1:8" x14ac:dyDescent="0.25">
      <c r="A332" s="21" t="str">
        <f t="shared" si="17"/>
        <v/>
      </c>
      <c r="B332"/>
      <c r="C332"/>
      <c r="F332"/>
      <c r="G332" s="19" t="str">
        <f t="shared" si="15"/>
        <v/>
      </c>
      <c r="H332" s="19" t="str">
        <f t="shared" si="16"/>
        <v/>
      </c>
    </row>
    <row r="333" spans="1:8" x14ac:dyDescent="0.25">
      <c r="A333" s="21" t="str">
        <f t="shared" si="17"/>
        <v/>
      </c>
      <c r="B333"/>
      <c r="C333"/>
      <c r="F333"/>
      <c r="G333" s="19" t="str">
        <f t="shared" si="15"/>
        <v/>
      </c>
      <c r="H333" s="19" t="str">
        <f t="shared" si="16"/>
        <v/>
      </c>
    </row>
    <row r="334" spans="1:8" x14ac:dyDescent="0.25">
      <c r="A334" s="21" t="str">
        <f t="shared" si="17"/>
        <v/>
      </c>
      <c r="B334"/>
      <c r="C334"/>
      <c r="F334"/>
      <c r="G334" s="19" t="str">
        <f t="shared" si="15"/>
        <v/>
      </c>
      <c r="H334" s="19" t="str">
        <f t="shared" si="16"/>
        <v/>
      </c>
    </row>
    <row r="335" spans="1:8" x14ac:dyDescent="0.25">
      <c r="A335" s="21" t="str">
        <f t="shared" si="17"/>
        <v/>
      </c>
      <c r="B335"/>
      <c r="C335"/>
      <c r="F335"/>
      <c r="G335" s="19" t="str">
        <f t="shared" si="15"/>
        <v/>
      </c>
      <c r="H335" s="19" t="str">
        <f t="shared" si="16"/>
        <v/>
      </c>
    </row>
    <row r="336" spans="1:8" x14ac:dyDescent="0.25">
      <c r="A336" s="21" t="str">
        <f t="shared" si="17"/>
        <v/>
      </c>
      <c r="B336"/>
      <c r="C336"/>
      <c r="F336"/>
      <c r="G336" s="19" t="str">
        <f t="shared" si="15"/>
        <v/>
      </c>
      <c r="H336" s="19" t="str">
        <f t="shared" si="16"/>
        <v/>
      </c>
    </row>
    <row r="337" spans="1:8" x14ac:dyDescent="0.25">
      <c r="A337" s="21" t="str">
        <f t="shared" si="17"/>
        <v/>
      </c>
      <c r="B337"/>
      <c r="C337"/>
      <c r="F337"/>
      <c r="G337" s="19" t="str">
        <f t="shared" si="15"/>
        <v/>
      </c>
      <c r="H337" s="19" t="str">
        <f t="shared" si="16"/>
        <v/>
      </c>
    </row>
    <row r="338" spans="1:8" x14ac:dyDescent="0.25">
      <c r="A338" s="21" t="str">
        <f t="shared" si="17"/>
        <v/>
      </c>
      <c r="B338"/>
      <c r="C338"/>
      <c r="F338"/>
      <c r="G338" s="19" t="str">
        <f t="shared" si="15"/>
        <v/>
      </c>
      <c r="H338" s="19" t="str">
        <f t="shared" si="16"/>
        <v/>
      </c>
    </row>
    <row r="339" spans="1:8" x14ac:dyDescent="0.25">
      <c r="A339" s="21" t="str">
        <f t="shared" si="17"/>
        <v/>
      </c>
      <c r="B339"/>
      <c r="C339"/>
      <c r="F339"/>
      <c r="G339" s="19" t="str">
        <f t="shared" si="15"/>
        <v/>
      </c>
      <c r="H339" s="19" t="str">
        <f t="shared" si="16"/>
        <v/>
      </c>
    </row>
    <row r="340" spans="1:8" x14ac:dyDescent="0.25">
      <c r="A340" s="21" t="str">
        <f t="shared" si="17"/>
        <v/>
      </c>
      <c r="B340"/>
      <c r="C340"/>
      <c r="F340"/>
      <c r="G340" s="19" t="str">
        <f t="shared" si="15"/>
        <v/>
      </c>
      <c r="H340" s="19" t="str">
        <f t="shared" si="16"/>
        <v/>
      </c>
    </row>
    <row r="341" spans="1:8" x14ac:dyDescent="0.25">
      <c r="A341" s="21" t="str">
        <f t="shared" si="17"/>
        <v/>
      </c>
      <c r="B341"/>
      <c r="C341"/>
      <c r="F341"/>
      <c r="G341" s="19" t="str">
        <f t="shared" si="15"/>
        <v/>
      </c>
      <c r="H341" s="19" t="str">
        <f t="shared" si="16"/>
        <v/>
      </c>
    </row>
    <row r="342" spans="1:8" x14ac:dyDescent="0.25">
      <c r="A342" s="21" t="str">
        <f t="shared" si="17"/>
        <v/>
      </c>
      <c r="B342"/>
      <c r="C342"/>
      <c r="F342"/>
      <c r="G342" s="19" t="str">
        <f t="shared" si="15"/>
        <v/>
      </c>
      <c r="H342" s="19" t="str">
        <f t="shared" si="16"/>
        <v/>
      </c>
    </row>
    <row r="343" spans="1:8" x14ac:dyDescent="0.25">
      <c r="A343" s="21" t="str">
        <f t="shared" si="17"/>
        <v/>
      </c>
      <c r="B343"/>
      <c r="C343"/>
      <c r="F343"/>
      <c r="G343" s="19" t="str">
        <f t="shared" si="15"/>
        <v/>
      </c>
      <c r="H343" s="19" t="str">
        <f t="shared" si="16"/>
        <v/>
      </c>
    </row>
    <row r="344" spans="1:8" x14ac:dyDescent="0.25">
      <c r="A344" s="21" t="str">
        <f t="shared" si="17"/>
        <v/>
      </c>
      <c r="B344"/>
      <c r="C344"/>
      <c r="F344"/>
      <c r="G344" s="19" t="str">
        <f t="shared" si="15"/>
        <v/>
      </c>
      <c r="H344" s="19" t="str">
        <f t="shared" si="16"/>
        <v/>
      </c>
    </row>
    <row r="345" spans="1:8" x14ac:dyDescent="0.25">
      <c r="A345" s="21" t="str">
        <f t="shared" si="17"/>
        <v/>
      </c>
      <c r="B345"/>
      <c r="C345"/>
      <c r="F345"/>
      <c r="G345" s="19" t="str">
        <f t="shared" si="15"/>
        <v/>
      </c>
      <c r="H345" s="19" t="str">
        <f t="shared" si="16"/>
        <v/>
      </c>
    </row>
    <row r="346" spans="1:8" x14ac:dyDescent="0.25">
      <c r="A346" s="21" t="str">
        <f t="shared" si="17"/>
        <v/>
      </c>
      <c r="B346"/>
      <c r="C346"/>
      <c r="F346"/>
      <c r="G346" s="19" t="str">
        <f t="shared" si="15"/>
        <v/>
      </c>
      <c r="H346" s="19" t="str">
        <f t="shared" si="16"/>
        <v/>
      </c>
    </row>
    <row r="347" spans="1:8" x14ac:dyDescent="0.25">
      <c r="A347" s="21" t="str">
        <f t="shared" si="17"/>
        <v/>
      </c>
      <c r="B347"/>
      <c r="C347"/>
      <c r="F347"/>
      <c r="G347" s="19" t="str">
        <f t="shared" si="15"/>
        <v/>
      </c>
      <c r="H347" s="19" t="str">
        <f t="shared" si="16"/>
        <v/>
      </c>
    </row>
    <row r="348" spans="1:8" x14ac:dyDescent="0.25">
      <c r="A348" s="21" t="str">
        <f t="shared" si="17"/>
        <v/>
      </c>
      <c r="B348"/>
      <c r="C348"/>
      <c r="F348"/>
      <c r="G348" s="19" t="str">
        <f t="shared" si="15"/>
        <v/>
      </c>
      <c r="H348" s="19" t="str">
        <f t="shared" si="16"/>
        <v/>
      </c>
    </row>
    <row r="349" spans="1:8" x14ac:dyDescent="0.25">
      <c r="A349" s="21" t="str">
        <f t="shared" si="17"/>
        <v/>
      </c>
      <c r="B349"/>
      <c r="C349"/>
      <c r="F349"/>
      <c r="G349" s="19" t="str">
        <f t="shared" si="15"/>
        <v/>
      </c>
      <c r="H349" s="19" t="str">
        <f t="shared" si="16"/>
        <v/>
      </c>
    </row>
    <row r="350" spans="1:8" x14ac:dyDescent="0.25">
      <c r="A350" s="21" t="str">
        <f t="shared" si="17"/>
        <v/>
      </c>
      <c r="B350"/>
      <c r="C350"/>
      <c r="F350"/>
      <c r="G350" s="19" t="str">
        <f t="shared" si="15"/>
        <v/>
      </c>
      <c r="H350" s="19" t="str">
        <f t="shared" si="16"/>
        <v/>
      </c>
    </row>
    <row r="351" spans="1:8" x14ac:dyDescent="0.25">
      <c r="A351" s="21" t="str">
        <f t="shared" si="17"/>
        <v/>
      </c>
      <c r="B351"/>
      <c r="C351"/>
      <c r="F351"/>
      <c r="G351" s="19" t="str">
        <f t="shared" si="15"/>
        <v/>
      </c>
      <c r="H351" s="19" t="str">
        <f t="shared" si="16"/>
        <v/>
      </c>
    </row>
    <row r="352" spans="1:8" x14ac:dyDescent="0.25">
      <c r="A352" s="21" t="str">
        <f t="shared" si="17"/>
        <v/>
      </c>
      <c r="B352"/>
      <c r="C352"/>
      <c r="F352"/>
      <c r="G352" s="19" t="str">
        <f t="shared" si="15"/>
        <v/>
      </c>
      <c r="H352" s="19" t="str">
        <f t="shared" si="16"/>
        <v/>
      </c>
    </row>
    <row r="353" spans="1:8" x14ac:dyDescent="0.25">
      <c r="A353" s="21" t="str">
        <f t="shared" si="17"/>
        <v/>
      </c>
      <c r="B353"/>
      <c r="C353"/>
      <c r="F353"/>
      <c r="G353" s="19" t="str">
        <f t="shared" si="15"/>
        <v/>
      </c>
      <c r="H353" s="19" t="str">
        <f t="shared" si="16"/>
        <v/>
      </c>
    </row>
    <row r="354" spans="1:8" x14ac:dyDescent="0.25">
      <c r="A354" s="21" t="str">
        <f t="shared" si="17"/>
        <v/>
      </c>
      <c r="B354"/>
      <c r="C354"/>
      <c r="F354"/>
      <c r="G354" s="19" t="str">
        <f t="shared" si="15"/>
        <v/>
      </c>
      <c r="H354" s="19" t="str">
        <f t="shared" si="16"/>
        <v/>
      </c>
    </row>
    <row r="355" spans="1:8" x14ac:dyDescent="0.25">
      <c r="A355" s="21" t="str">
        <f t="shared" si="17"/>
        <v/>
      </c>
      <c r="B355"/>
      <c r="C355"/>
      <c r="F355"/>
      <c r="G355" s="19" t="str">
        <f t="shared" si="15"/>
        <v/>
      </c>
      <c r="H355" s="19" t="str">
        <f t="shared" si="16"/>
        <v/>
      </c>
    </row>
    <row r="356" spans="1:8" x14ac:dyDescent="0.25">
      <c r="A356" s="21" t="str">
        <f t="shared" si="17"/>
        <v/>
      </c>
      <c r="B356"/>
      <c r="C356"/>
      <c r="F356"/>
      <c r="G356" s="19" t="str">
        <f t="shared" si="15"/>
        <v/>
      </c>
      <c r="H356" s="19" t="str">
        <f t="shared" si="16"/>
        <v/>
      </c>
    </row>
    <row r="357" spans="1:8" x14ac:dyDescent="0.25">
      <c r="A357" s="21" t="str">
        <f t="shared" si="17"/>
        <v/>
      </c>
      <c r="B357"/>
      <c r="C357"/>
      <c r="F357"/>
      <c r="G357" s="19" t="str">
        <f t="shared" si="15"/>
        <v/>
      </c>
      <c r="H357" s="19" t="str">
        <f t="shared" si="16"/>
        <v/>
      </c>
    </row>
    <row r="358" spans="1:8" x14ac:dyDescent="0.25">
      <c r="A358" s="21" t="str">
        <f t="shared" si="17"/>
        <v/>
      </c>
      <c r="B358"/>
      <c r="C358"/>
      <c r="F358"/>
      <c r="G358" s="19" t="str">
        <f t="shared" si="15"/>
        <v/>
      </c>
      <c r="H358" s="19" t="str">
        <f t="shared" si="16"/>
        <v/>
      </c>
    </row>
    <row r="359" spans="1:8" x14ac:dyDescent="0.25">
      <c r="A359" s="21" t="str">
        <f t="shared" si="17"/>
        <v/>
      </c>
      <c r="B359"/>
      <c r="C359"/>
      <c r="F359"/>
      <c r="G359" s="19" t="str">
        <f t="shared" si="15"/>
        <v/>
      </c>
      <c r="H359" s="19" t="str">
        <f t="shared" si="16"/>
        <v/>
      </c>
    </row>
    <row r="360" spans="1:8" x14ac:dyDescent="0.25">
      <c r="A360" s="21" t="str">
        <f t="shared" si="17"/>
        <v/>
      </c>
      <c r="B360"/>
      <c r="C360"/>
      <c r="F360"/>
      <c r="G360" s="19" t="str">
        <f t="shared" si="15"/>
        <v/>
      </c>
      <c r="H360" s="19" t="str">
        <f t="shared" si="16"/>
        <v/>
      </c>
    </row>
    <row r="361" spans="1:8" x14ac:dyDescent="0.25">
      <c r="A361" s="21" t="str">
        <f t="shared" si="17"/>
        <v/>
      </c>
      <c r="B361"/>
      <c r="C361"/>
      <c r="F361"/>
      <c r="G361" s="19" t="str">
        <f t="shared" si="15"/>
        <v/>
      </c>
      <c r="H361" s="19" t="str">
        <f t="shared" si="16"/>
        <v/>
      </c>
    </row>
    <row r="362" spans="1:8" x14ac:dyDescent="0.25">
      <c r="A362" s="21" t="str">
        <f t="shared" si="17"/>
        <v/>
      </c>
      <c r="B362"/>
      <c r="C362"/>
      <c r="F362"/>
      <c r="G362" s="19" t="str">
        <f t="shared" si="15"/>
        <v/>
      </c>
      <c r="H362" s="19" t="str">
        <f t="shared" si="16"/>
        <v/>
      </c>
    </row>
    <row r="363" spans="1:8" x14ac:dyDescent="0.25">
      <c r="A363" s="21" t="str">
        <f t="shared" si="17"/>
        <v/>
      </c>
      <c r="B363"/>
      <c r="C363"/>
      <c r="F363"/>
      <c r="G363" s="19" t="str">
        <f t="shared" si="15"/>
        <v/>
      </c>
      <c r="H363" s="19" t="str">
        <f t="shared" si="16"/>
        <v/>
      </c>
    </row>
    <row r="364" spans="1:8" x14ac:dyDescent="0.25">
      <c r="A364" s="21" t="str">
        <f t="shared" si="17"/>
        <v/>
      </c>
      <c r="B364"/>
      <c r="C364"/>
      <c r="F364"/>
      <c r="G364" s="19" t="str">
        <f t="shared" si="15"/>
        <v/>
      </c>
      <c r="H364" s="19" t="str">
        <f t="shared" si="16"/>
        <v/>
      </c>
    </row>
    <row r="365" spans="1:8" x14ac:dyDescent="0.25">
      <c r="A365" s="21" t="str">
        <f t="shared" si="17"/>
        <v/>
      </c>
      <c r="B365"/>
      <c r="C365"/>
      <c r="F365"/>
      <c r="G365" s="19" t="str">
        <f t="shared" si="15"/>
        <v/>
      </c>
      <c r="H365" s="19" t="str">
        <f t="shared" si="16"/>
        <v/>
      </c>
    </row>
    <row r="366" spans="1:8" x14ac:dyDescent="0.25">
      <c r="A366" s="21" t="str">
        <f t="shared" si="17"/>
        <v/>
      </c>
      <c r="B366"/>
      <c r="C366"/>
      <c r="F366"/>
      <c r="G366" s="19" t="str">
        <f t="shared" si="15"/>
        <v/>
      </c>
      <c r="H366" s="19" t="str">
        <f t="shared" si="16"/>
        <v/>
      </c>
    </row>
    <row r="367" spans="1:8" x14ac:dyDescent="0.25">
      <c r="A367" s="21" t="str">
        <f t="shared" si="17"/>
        <v/>
      </c>
      <c r="B367"/>
      <c r="C367"/>
      <c r="F367"/>
      <c r="G367" s="19" t="str">
        <f t="shared" si="15"/>
        <v/>
      </c>
      <c r="H367" s="19" t="str">
        <f t="shared" si="16"/>
        <v/>
      </c>
    </row>
    <row r="368" spans="1:8" x14ac:dyDescent="0.25">
      <c r="A368" s="21" t="str">
        <f t="shared" si="17"/>
        <v/>
      </c>
      <c r="B368"/>
      <c r="C368"/>
      <c r="F368"/>
      <c r="G368" s="19" t="str">
        <f t="shared" si="15"/>
        <v/>
      </c>
      <c r="H368" s="19" t="str">
        <f t="shared" si="16"/>
        <v/>
      </c>
    </row>
    <row r="369" spans="1:8" x14ac:dyDescent="0.25">
      <c r="A369" s="21" t="str">
        <f t="shared" si="17"/>
        <v/>
      </c>
      <c r="B369"/>
      <c r="C369"/>
      <c r="F369"/>
      <c r="G369" s="19" t="str">
        <f t="shared" si="15"/>
        <v/>
      </c>
      <c r="H369" s="19" t="str">
        <f t="shared" si="16"/>
        <v/>
      </c>
    </row>
    <row r="370" spans="1:8" x14ac:dyDescent="0.25">
      <c r="A370" s="21" t="str">
        <f t="shared" si="17"/>
        <v/>
      </c>
      <c r="B370"/>
      <c r="C370"/>
      <c r="F370"/>
      <c r="G370" s="19" t="str">
        <f t="shared" si="15"/>
        <v/>
      </c>
      <c r="H370" s="19" t="str">
        <f t="shared" si="16"/>
        <v/>
      </c>
    </row>
    <row r="371" spans="1:8" x14ac:dyDescent="0.25">
      <c r="A371" s="21" t="str">
        <f t="shared" si="17"/>
        <v/>
      </c>
      <c r="B371"/>
      <c r="C371"/>
      <c r="F371"/>
      <c r="G371" s="19" t="str">
        <f t="shared" si="15"/>
        <v/>
      </c>
      <c r="H371" s="19" t="str">
        <f t="shared" si="16"/>
        <v/>
      </c>
    </row>
    <row r="372" spans="1:8" x14ac:dyDescent="0.25">
      <c r="A372" s="21" t="str">
        <f t="shared" si="17"/>
        <v/>
      </c>
      <c r="B372"/>
      <c r="C372"/>
      <c r="F372"/>
      <c r="G372" s="19" t="str">
        <f t="shared" si="15"/>
        <v/>
      </c>
      <c r="H372" s="19" t="str">
        <f t="shared" si="16"/>
        <v/>
      </c>
    </row>
    <row r="373" spans="1:8" x14ac:dyDescent="0.25">
      <c r="A373" s="21" t="str">
        <f t="shared" si="17"/>
        <v/>
      </c>
      <c r="B373"/>
      <c r="C373"/>
      <c r="F373"/>
      <c r="G373" s="19" t="str">
        <f t="shared" si="15"/>
        <v/>
      </c>
      <c r="H373" s="19" t="str">
        <f t="shared" si="16"/>
        <v/>
      </c>
    </row>
    <row r="374" spans="1:8" x14ac:dyDescent="0.25">
      <c r="A374" s="21" t="str">
        <f t="shared" si="17"/>
        <v/>
      </c>
      <c r="B374"/>
      <c r="C374"/>
      <c r="F374"/>
      <c r="G374" s="19" t="str">
        <f t="shared" si="15"/>
        <v/>
      </c>
      <c r="H374" s="19" t="str">
        <f t="shared" si="16"/>
        <v/>
      </c>
    </row>
    <row r="375" spans="1:8" x14ac:dyDescent="0.25">
      <c r="A375" s="21" t="str">
        <f t="shared" si="17"/>
        <v/>
      </c>
      <c r="B375"/>
      <c r="C375"/>
      <c r="F375"/>
      <c r="G375" s="19" t="str">
        <f t="shared" si="15"/>
        <v/>
      </c>
      <c r="H375" s="19" t="str">
        <f t="shared" si="16"/>
        <v/>
      </c>
    </row>
    <row r="376" spans="1:8" x14ac:dyDescent="0.25">
      <c r="A376" s="21" t="str">
        <f t="shared" si="17"/>
        <v/>
      </c>
      <c r="B376"/>
      <c r="C376"/>
      <c r="F376"/>
      <c r="G376" s="19" t="str">
        <f t="shared" si="15"/>
        <v/>
      </c>
      <c r="H376" s="19" t="str">
        <f t="shared" si="16"/>
        <v/>
      </c>
    </row>
    <row r="377" spans="1:8" x14ac:dyDescent="0.25">
      <c r="A377" s="21" t="str">
        <f t="shared" si="17"/>
        <v/>
      </c>
      <c r="B377"/>
      <c r="C377"/>
      <c r="F377"/>
      <c r="G377" s="19" t="str">
        <f t="shared" si="15"/>
        <v/>
      </c>
      <c r="H377" s="19" t="str">
        <f t="shared" si="16"/>
        <v/>
      </c>
    </row>
    <row r="378" spans="1:8" x14ac:dyDescent="0.25">
      <c r="A378" s="21" t="str">
        <f t="shared" si="17"/>
        <v/>
      </c>
      <c r="B378"/>
      <c r="C378"/>
      <c r="F378"/>
      <c r="G378" s="19" t="str">
        <f t="shared" si="15"/>
        <v/>
      </c>
      <c r="H378" s="19" t="str">
        <f t="shared" si="16"/>
        <v/>
      </c>
    </row>
    <row r="379" spans="1:8" x14ac:dyDescent="0.25">
      <c r="A379" s="21" t="str">
        <f t="shared" si="17"/>
        <v/>
      </c>
      <c r="B379"/>
      <c r="C379"/>
      <c r="F379"/>
      <c r="G379" s="19" t="str">
        <f t="shared" si="15"/>
        <v/>
      </c>
      <c r="H379" s="19" t="str">
        <f t="shared" si="16"/>
        <v/>
      </c>
    </row>
    <row r="380" spans="1:8" x14ac:dyDescent="0.25">
      <c r="A380" s="21" t="str">
        <f t="shared" si="17"/>
        <v/>
      </c>
      <c r="B380"/>
      <c r="C380"/>
      <c r="F380"/>
      <c r="G380" s="19" t="str">
        <f t="shared" si="15"/>
        <v/>
      </c>
      <c r="H380" s="19" t="str">
        <f t="shared" si="16"/>
        <v/>
      </c>
    </row>
    <row r="381" spans="1:8" x14ac:dyDescent="0.25">
      <c r="A381" s="21" t="str">
        <f t="shared" si="17"/>
        <v/>
      </c>
      <c r="B381"/>
      <c r="C381"/>
      <c r="F381"/>
      <c r="G381" s="19" t="str">
        <f t="shared" si="15"/>
        <v/>
      </c>
      <c r="H381" s="19" t="str">
        <f t="shared" si="16"/>
        <v/>
      </c>
    </row>
    <row r="382" spans="1:8" x14ac:dyDescent="0.25">
      <c r="A382" s="21" t="str">
        <f t="shared" si="17"/>
        <v/>
      </c>
      <c r="B382"/>
      <c r="C382"/>
      <c r="F382"/>
      <c r="G382" s="19" t="str">
        <f t="shared" si="15"/>
        <v/>
      </c>
      <c r="H382" s="19" t="str">
        <f t="shared" si="16"/>
        <v/>
      </c>
    </row>
    <row r="383" spans="1:8" x14ac:dyDescent="0.25">
      <c r="A383" s="21" t="str">
        <f t="shared" si="17"/>
        <v/>
      </c>
      <c r="B383"/>
      <c r="C383"/>
      <c r="F383"/>
      <c r="G383" s="19" t="str">
        <f t="shared" si="15"/>
        <v/>
      </c>
      <c r="H383" s="19" t="str">
        <f t="shared" si="16"/>
        <v/>
      </c>
    </row>
    <row r="384" spans="1:8" x14ac:dyDescent="0.25">
      <c r="A384" s="21" t="str">
        <f t="shared" si="17"/>
        <v/>
      </c>
      <c r="B384"/>
      <c r="C384"/>
      <c r="F384"/>
      <c r="G384" s="19" t="str">
        <f t="shared" si="15"/>
        <v/>
      </c>
      <c r="H384" s="19" t="str">
        <f t="shared" si="16"/>
        <v/>
      </c>
    </row>
    <row r="385" spans="1:8" x14ac:dyDescent="0.25">
      <c r="A385" s="21" t="str">
        <f t="shared" si="17"/>
        <v/>
      </c>
      <c r="B385"/>
      <c r="C385"/>
      <c r="F385"/>
      <c r="G385" s="19" t="str">
        <f t="shared" si="15"/>
        <v/>
      </c>
      <c r="H385" s="19" t="str">
        <f t="shared" si="16"/>
        <v/>
      </c>
    </row>
    <row r="386" spans="1:8" x14ac:dyDescent="0.25">
      <c r="A386" s="21" t="str">
        <f t="shared" si="17"/>
        <v/>
      </c>
      <c r="B386"/>
      <c r="C386"/>
      <c r="F386"/>
      <c r="G386" s="19" t="str">
        <f t="shared" si="15"/>
        <v/>
      </c>
      <c r="H386" s="19" t="str">
        <f t="shared" si="16"/>
        <v/>
      </c>
    </row>
    <row r="387" spans="1:8" x14ac:dyDescent="0.25">
      <c r="A387" s="21" t="str">
        <f t="shared" si="17"/>
        <v/>
      </c>
      <c r="B387"/>
      <c r="C387"/>
      <c r="F387"/>
      <c r="G387" s="19" t="str">
        <f t="shared" si="15"/>
        <v/>
      </c>
      <c r="H387" s="19" t="str">
        <f t="shared" si="16"/>
        <v/>
      </c>
    </row>
    <row r="388" spans="1:8" x14ac:dyDescent="0.25">
      <c r="A388" s="21" t="str">
        <f t="shared" si="17"/>
        <v/>
      </c>
      <c r="B388"/>
      <c r="C388"/>
      <c r="F388"/>
      <c r="G388" s="19" t="str">
        <f t="shared" ref="G388:G451" si="18">IFERROR(VLOOKUP(F388,$A$3:$C$1002,2,FALSE),"")</f>
        <v/>
      </c>
      <c r="H388" s="19" t="str">
        <f t="shared" ref="H388:H451" si="19">IFERROR(VLOOKUP(F388,$A$3:$C$1002,3,FALSE),"")</f>
        <v/>
      </c>
    </row>
    <row r="389" spans="1:8" x14ac:dyDescent="0.25">
      <c r="A389" s="21" t="str">
        <f t="shared" ref="A389:A452" si="20">IF(LEN(B389)&gt;0,RANK(C389,C$3:C$1002,0),"")</f>
        <v/>
      </c>
      <c r="B389"/>
      <c r="C389"/>
      <c r="F389"/>
      <c r="G389" s="19" t="str">
        <f t="shared" si="18"/>
        <v/>
      </c>
      <c r="H389" s="19" t="str">
        <f t="shared" si="19"/>
        <v/>
      </c>
    </row>
    <row r="390" spans="1:8" x14ac:dyDescent="0.25">
      <c r="A390" s="21" t="str">
        <f t="shared" si="20"/>
        <v/>
      </c>
      <c r="B390"/>
      <c r="C390"/>
      <c r="F390"/>
      <c r="G390" s="19" t="str">
        <f t="shared" si="18"/>
        <v/>
      </c>
      <c r="H390" s="19" t="str">
        <f t="shared" si="19"/>
        <v/>
      </c>
    </row>
    <row r="391" spans="1:8" x14ac:dyDescent="0.25">
      <c r="A391" s="21" t="str">
        <f t="shared" si="20"/>
        <v/>
      </c>
      <c r="B391"/>
      <c r="C391"/>
      <c r="F391"/>
      <c r="G391" s="19" t="str">
        <f t="shared" si="18"/>
        <v/>
      </c>
      <c r="H391" s="19" t="str">
        <f t="shared" si="19"/>
        <v/>
      </c>
    </row>
    <row r="392" spans="1:8" x14ac:dyDescent="0.25">
      <c r="A392" s="21" t="str">
        <f t="shared" si="20"/>
        <v/>
      </c>
      <c r="B392"/>
      <c r="C392"/>
      <c r="F392"/>
      <c r="G392" s="19" t="str">
        <f t="shared" si="18"/>
        <v/>
      </c>
      <c r="H392" s="19" t="str">
        <f t="shared" si="19"/>
        <v/>
      </c>
    </row>
    <row r="393" spans="1:8" x14ac:dyDescent="0.25">
      <c r="A393" s="21" t="str">
        <f t="shared" si="20"/>
        <v/>
      </c>
      <c r="B393"/>
      <c r="C393"/>
      <c r="F393"/>
      <c r="G393" s="19" t="str">
        <f t="shared" si="18"/>
        <v/>
      </c>
      <c r="H393" s="19" t="str">
        <f t="shared" si="19"/>
        <v/>
      </c>
    </row>
    <row r="394" spans="1:8" x14ac:dyDescent="0.25">
      <c r="A394" s="21" t="str">
        <f t="shared" si="20"/>
        <v/>
      </c>
      <c r="B394"/>
      <c r="C394"/>
      <c r="F394"/>
      <c r="G394" s="19" t="str">
        <f t="shared" si="18"/>
        <v/>
      </c>
      <c r="H394" s="19" t="str">
        <f t="shared" si="19"/>
        <v/>
      </c>
    </row>
    <row r="395" spans="1:8" x14ac:dyDescent="0.25">
      <c r="A395" s="21" t="str">
        <f t="shared" si="20"/>
        <v/>
      </c>
      <c r="B395"/>
      <c r="C395"/>
      <c r="F395"/>
      <c r="G395" s="19" t="str">
        <f t="shared" si="18"/>
        <v/>
      </c>
      <c r="H395" s="19" t="str">
        <f t="shared" si="19"/>
        <v/>
      </c>
    </row>
    <row r="396" spans="1:8" x14ac:dyDescent="0.25">
      <c r="A396" s="21" t="str">
        <f t="shared" si="20"/>
        <v/>
      </c>
      <c r="B396"/>
      <c r="C396"/>
      <c r="F396"/>
      <c r="G396" s="19" t="str">
        <f t="shared" si="18"/>
        <v/>
      </c>
      <c r="H396" s="19" t="str">
        <f t="shared" si="19"/>
        <v/>
      </c>
    </row>
    <row r="397" spans="1:8" x14ac:dyDescent="0.25">
      <c r="A397" s="21" t="str">
        <f t="shared" si="20"/>
        <v/>
      </c>
      <c r="B397"/>
      <c r="C397"/>
      <c r="F397"/>
      <c r="G397" s="19" t="str">
        <f t="shared" si="18"/>
        <v/>
      </c>
      <c r="H397" s="19" t="str">
        <f t="shared" si="19"/>
        <v/>
      </c>
    </row>
    <row r="398" spans="1:8" x14ac:dyDescent="0.25">
      <c r="A398" s="21" t="str">
        <f t="shared" si="20"/>
        <v/>
      </c>
      <c r="B398"/>
      <c r="C398"/>
      <c r="F398"/>
      <c r="G398" s="19" t="str">
        <f t="shared" si="18"/>
        <v/>
      </c>
      <c r="H398" s="19" t="str">
        <f t="shared" si="19"/>
        <v/>
      </c>
    </row>
    <row r="399" spans="1:8" x14ac:dyDescent="0.25">
      <c r="A399" s="21" t="str">
        <f t="shared" si="20"/>
        <v/>
      </c>
      <c r="B399"/>
      <c r="C399"/>
      <c r="F399"/>
      <c r="G399" s="19" t="str">
        <f t="shared" si="18"/>
        <v/>
      </c>
      <c r="H399" s="19" t="str">
        <f t="shared" si="19"/>
        <v/>
      </c>
    </row>
    <row r="400" spans="1:8" x14ac:dyDescent="0.25">
      <c r="A400" s="21" t="str">
        <f t="shared" si="20"/>
        <v/>
      </c>
      <c r="B400"/>
      <c r="C400"/>
      <c r="F400"/>
      <c r="G400" s="19" t="str">
        <f t="shared" si="18"/>
        <v/>
      </c>
      <c r="H400" s="19" t="str">
        <f t="shared" si="19"/>
        <v/>
      </c>
    </row>
    <row r="401" spans="1:8" x14ac:dyDescent="0.25">
      <c r="A401" s="21" t="str">
        <f t="shared" si="20"/>
        <v/>
      </c>
      <c r="B401"/>
      <c r="C401"/>
      <c r="F401"/>
      <c r="G401" s="19" t="str">
        <f t="shared" si="18"/>
        <v/>
      </c>
      <c r="H401" s="19" t="str">
        <f t="shared" si="19"/>
        <v/>
      </c>
    </row>
    <row r="402" spans="1:8" x14ac:dyDescent="0.25">
      <c r="A402" s="21" t="str">
        <f t="shared" si="20"/>
        <v/>
      </c>
      <c r="B402"/>
      <c r="C402"/>
      <c r="F402"/>
      <c r="G402" s="19" t="str">
        <f t="shared" si="18"/>
        <v/>
      </c>
      <c r="H402" s="19" t="str">
        <f t="shared" si="19"/>
        <v/>
      </c>
    </row>
    <row r="403" spans="1:8" x14ac:dyDescent="0.25">
      <c r="A403" s="21" t="str">
        <f t="shared" si="20"/>
        <v/>
      </c>
      <c r="B403"/>
      <c r="C403"/>
      <c r="F403"/>
      <c r="G403" s="19" t="str">
        <f t="shared" si="18"/>
        <v/>
      </c>
      <c r="H403" s="19" t="str">
        <f t="shared" si="19"/>
        <v/>
      </c>
    </row>
    <row r="404" spans="1:8" x14ac:dyDescent="0.25">
      <c r="A404" s="21" t="str">
        <f t="shared" si="20"/>
        <v/>
      </c>
      <c r="B404"/>
      <c r="C404"/>
      <c r="F404"/>
      <c r="G404" s="19" t="str">
        <f t="shared" si="18"/>
        <v/>
      </c>
      <c r="H404" s="19" t="str">
        <f t="shared" si="19"/>
        <v/>
      </c>
    </row>
    <row r="405" spans="1:8" x14ac:dyDescent="0.25">
      <c r="A405" s="21" t="str">
        <f t="shared" si="20"/>
        <v/>
      </c>
      <c r="B405"/>
      <c r="C405"/>
      <c r="F405"/>
      <c r="G405" s="19" t="str">
        <f t="shared" si="18"/>
        <v/>
      </c>
      <c r="H405" s="19" t="str">
        <f t="shared" si="19"/>
        <v/>
      </c>
    </row>
    <row r="406" spans="1:8" x14ac:dyDescent="0.25">
      <c r="A406" s="21" t="str">
        <f t="shared" si="20"/>
        <v/>
      </c>
      <c r="B406"/>
      <c r="C406"/>
      <c r="F406"/>
      <c r="G406" s="19" t="str">
        <f t="shared" si="18"/>
        <v/>
      </c>
      <c r="H406" s="19" t="str">
        <f t="shared" si="19"/>
        <v/>
      </c>
    </row>
    <row r="407" spans="1:8" x14ac:dyDescent="0.25">
      <c r="A407" s="21" t="str">
        <f t="shared" si="20"/>
        <v/>
      </c>
      <c r="B407"/>
      <c r="C407"/>
      <c r="F407"/>
      <c r="G407" s="19" t="str">
        <f t="shared" si="18"/>
        <v/>
      </c>
      <c r="H407" s="19" t="str">
        <f t="shared" si="19"/>
        <v/>
      </c>
    </row>
    <row r="408" spans="1:8" x14ac:dyDescent="0.25">
      <c r="A408" s="21" t="str">
        <f t="shared" si="20"/>
        <v/>
      </c>
      <c r="B408"/>
      <c r="C408"/>
      <c r="F408"/>
      <c r="G408" s="19" t="str">
        <f t="shared" si="18"/>
        <v/>
      </c>
      <c r="H408" s="19" t="str">
        <f t="shared" si="19"/>
        <v/>
      </c>
    </row>
    <row r="409" spans="1:8" x14ac:dyDescent="0.25">
      <c r="A409" s="21" t="str">
        <f t="shared" si="20"/>
        <v/>
      </c>
      <c r="B409"/>
      <c r="C409"/>
      <c r="F409"/>
      <c r="G409" s="19" t="str">
        <f t="shared" si="18"/>
        <v/>
      </c>
      <c r="H409" s="19" t="str">
        <f t="shared" si="19"/>
        <v/>
      </c>
    </row>
    <row r="410" spans="1:8" x14ac:dyDescent="0.25">
      <c r="A410" s="21" t="str">
        <f t="shared" si="20"/>
        <v/>
      </c>
      <c r="B410"/>
      <c r="C410"/>
      <c r="F410"/>
      <c r="G410" s="19" t="str">
        <f t="shared" si="18"/>
        <v/>
      </c>
      <c r="H410" s="19" t="str">
        <f t="shared" si="19"/>
        <v/>
      </c>
    </row>
    <row r="411" spans="1:8" x14ac:dyDescent="0.25">
      <c r="A411" s="21" t="str">
        <f t="shared" si="20"/>
        <v/>
      </c>
      <c r="B411"/>
      <c r="C411"/>
      <c r="F411"/>
      <c r="G411" s="19" t="str">
        <f t="shared" si="18"/>
        <v/>
      </c>
      <c r="H411" s="19" t="str">
        <f t="shared" si="19"/>
        <v/>
      </c>
    </row>
    <row r="412" spans="1:8" x14ac:dyDescent="0.25">
      <c r="A412" s="21" t="str">
        <f t="shared" si="20"/>
        <v/>
      </c>
      <c r="B412"/>
      <c r="C412"/>
      <c r="F412"/>
      <c r="G412" s="19" t="str">
        <f t="shared" si="18"/>
        <v/>
      </c>
      <c r="H412" s="19" t="str">
        <f t="shared" si="19"/>
        <v/>
      </c>
    </row>
    <row r="413" spans="1:8" x14ac:dyDescent="0.25">
      <c r="A413" s="21" t="str">
        <f t="shared" si="20"/>
        <v/>
      </c>
      <c r="B413"/>
      <c r="C413"/>
      <c r="F413"/>
      <c r="G413" s="19" t="str">
        <f t="shared" si="18"/>
        <v/>
      </c>
      <c r="H413" s="19" t="str">
        <f t="shared" si="19"/>
        <v/>
      </c>
    </row>
    <row r="414" spans="1:8" x14ac:dyDescent="0.25">
      <c r="A414" s="21" t="str">
        <f t="shared" si="20"/>
        <v/>
      </c>
      <c r="B414"/>
      <c r="C414"/>
      <c r="F414"/>
      <c r="G414" s="19" t="str">
        <f t="shared" si="18"/>
        <v/>
      </c>
      <c r="H414" s="19" t="str">
        <f t="shared" si="19"/>
        <v/>
      </c>
    </row>
    <row r="415" spans="1:8" x14ac:dyDescent="0.25">
      <c r="A415" s="21" t="str">
        <f t="shared" si="20"/>
        <v/>
      </c>
      <c r="B415"/>
      <c r="C415"/>
      <c r="F415"/>
      <c r="G415" s="19" t="str">
        <f t="shared" si="18"/>
        <v/>
      </c>
      <c r="H415" s="19" t="str">
        <f t="shared" si="19"/>
        <v/>
      </c>
    </row>
    <row r="416" spans="1:8" x14ac:dyDescent="0.25">
      <c r="A416" s="21" t="str">
        <f t="shared" si="20"/>
        <v/>
      </c>
      <c r="B416"/>
      <c r="C416"/>
      <c r="F416"/>
      <c r="G416" s="19" t="str">
        <f t="shared" si="18"/>
        <v/>
      </c>
      <c r="H416" s="19" t="str">
        <f t="shared" si="19"/>
        <v/>
      </c>
    </row>
    <row r="417" spans="1:8" x14ac:dyDescent="0.25">
      <c r="A417" s="21" t="str">
        <f t="shared" si="20"/>
        <v/>
      </c>
      <c r="B417"/>
      <c r="C417"/>
      <c r="F417"/>
      <c r="G417" s="19" t="str">
        <f t="shared" si="18"/>
        <v/>
      </c>
      <c r="H417" s="19" t="str">
        <f t="shared" si="19"/>
        <v/>
      </c>
    </row>
    <row r="418" spans="1:8" x14ac:dyDescent="0.25">
      <c r="A418" s="21" t="str">
        <f t="shared" si="20"/>
        <v/>
      </c>
      <c r="B418"/>
      <c r="C418"/>
      <c r="F418"/>
      <c r="G418" s="19" t="str">
        <f t="shared" si="18"/>
        <v/>
      </c>
      <c r="H418" s="19" t="str">
        <f t="shared" si="19"/>
        <v/>
      </c>
    </row>
    <row r="419" spans="1:8" x14ac:dyDescent="0.25">
      <c r="A419" s="21" t="str">
        <f t="shared" si="20"/>
        <v/>
      </c>
      <c r="B419"/>
      <c r="C419"/>
      <c r="F419"/>
      <c r="G419" s="19" t="str">
        <f t="shared" si="18"/>
        <v/>
      </c>
      <c r="H419" s="19" t="str">
        <f t="shared" si="19"/>
        <v/>
      </c>
    </row>
    <row r="420" spans="1:8" x14ac:dyDescent="0.25">
      <c r="A420" s="21" t="str">
        <f t="shared" si="20"/>
        <v/>
      </c>
      <c r="B420"/>
      <c r="C420"/>
      <c r="F420"/>
      <c r="G420" s="19" t="str">
        <f t="shared" si="18"/>
        <v/>
      </c>
      <c r="H420" s="19" t="str">
        <f t="shared" si="19"/>
        <v/>
      </c>
    </row>
    <row r="421" spans="1:8" x14ac:dyDescent="0.25">
      <c r="A421" s="21" t="str">
        <f t="shared" si="20"/>
        <v/>
      </c>
      <c r="B421"/>
      <c r="C421"/>
      <c r="F421"/>
      <c r="G421" s="19" t="str">
        <f t="shared" si="18"/>
        <v/>
      </c>
      <c r="H421" s="19" t="str">
        <f t="shared" si="19"/>
        <v/>
      </c>
    </row>
    <row r="422" spans="1:8" x14ac:dyDescent="0.25">
      <c r="A422" s="21" t="str">
        <f t="shared" si="20"/>
        <v/>
      </c>
      <c r="B422"/>
      <c r="C422"/>
      <c r="F422"/>
      <c r="G422" s="19" t="str">
        <f t="shared" si="18"/>
        <v/>
      </c>
      <c r="H422" s="19" t="str">
        <f t="shared" si="19"/>
        <v/>
      </c>
    </row>
    <row r="423" spans="1:8" x14ac:dyDescent="0.25">
      <c r="A423" s="21" t="str">
        <f t="shared" si="20"/>
        <v/>
      </c>
      <c r="B423"/>
      <c r="C423"/>
      <c r="F423"/>
      <c r="G423" s="19" t="str">
        <f t="shared" si="18"/>
        <v/>
      </c>
      <c r="H423" s="19" t="str">
        <f t="shared" si="19"/>
        <v/>
      </c>
    </row>
    <row r="424" spans="1:8" x14ac:dyDescent="0.25">
      <c r="A424" s="21" t="str">
        <f t="shared" si="20"/>
        <v/>
      </c>
      <c r="B424"/>
      <c r="C424"/>
      <c r="F424"/>
      <c r="G424" s="19" t="str">
        <f t="shared" si="18"/>
        <v/>
      </c>
      <c r="H424" s="19" t="str">
        <f t="shared" si="19"/>
        <v/>
      </c>
    </row>
    <row r="425" spans="1:8" x14ac:dyDescent="0.25">
      <c r="A425" s="21" t="str">
        <f t="shared" si="20"/>
        <v/>
      </c>
      <c r="B425"/>
      <c r="C425"/>
      <c r="F425"/>
      <c r="G425" s="19" t="str">
        <f t="shared" si="18"/>
        <v/>
      </c>
      <c r="H425" s="19" t="str">
        <f t="shared" si="19"/>
        <v/>
      </c>
    </row>
    <row r="426" spans="1:8" x14ac:dyDescent="0.25">
      <c r="A426" s="21" t="str">
        <f t="shared" si="20"/>
        <v/>
      </c>
      <c r="B426"/>
      <c r="C426"/>
      <c r="F426"/>
      <c r="G426" s="19" t="str">
        <f t="shared" si="18"/>
        <v/>
      </c>
      <c r="H426" s="19" t="str">
        <f t="shared" si="19"/>
        <v/>
      </c>
    </row>
    <row r="427" spans="1:8" x14ac:dyDescent="0.25">
      <c r="A427" s="21" t="str">
        <f t="shared" si="20"/>
        <v/>
      </c>
      <c r="B427"/>
      <c r="C427"/>
      <c r="F427"/>
      <c r="G427" s="19" t="str">
        <f t="shared" si="18"/>
        <v/>
      </c>
      <c r="H427" s="19" t="str">
        <f t="shared" si="19"/>
        <v/>
      </c>
    </row>
    <row r="428" spans="1:8" x14ac:dyDescent="0.25">
      <c r="A428" s="21" t="str">
        <f t="shared" si="20"/>
        <v/>
      </c>
      <c r="B428"/>
      <c r="C428"/>
      <c r="F428"/>
      <c r="G428" s="19" t="str">
        <f t="shared" si="18"/>
        <v/>
      </c>
      <c r="H428" s="19" t="str">
        <f t="shared" si="19"/>
        <v/>
      </c>
    </row>
    <row r="429" spans="1:8" x14ac:dyDescent="0.25">
      <c r="A429" s="21" t="str">
        <f t="shared" si="20"/>
        <v/>
      </c>
      <c r="B429"/>
      <c r="C429"/>
      <c r="F429"/>
      <c r="G429" s="19" t="str">
        <f t="shared" si="18"/>
        <v/>
      </c>
      <c r="H429" s="19" t="str">
        <f t="shared" si="19"/>
        <v/>
      </c>
    </row>
    <row r="430" spans="1:8" x14ac:dyDescent="0.25">
      <c r="A430" s="21" t="str">
        <f t="shared" si="20"/>
        <v/>
      </c>
      <c r="B430"/>
      <c r="C430"/>
      <c r="F430"/>
      <c r="G430" s="19" t="str">
        <f t="shared" si="18"/>
        <v/>
      </c>
      <c r="H430" s="19" t="str">
        <f t="shared" si="19"/>
        <v/>
      </c>
    </row>
    <row r="431" spans="1:8" x14ac:dyDescent="0.25">
      <c r="A431" s="21" t="str">
        <f t="shared" si="20"/>
        <v/>
      </c>
      <c r="B431"/>
      <c r="C431"/>
      <c r="F431"/>
      <c r="G431" s="19" t="str">
        <f t="shared" si="18"/>
        <v/>
      </c>
      <c r="H431" s="19" t="str">
        <f t="shared" si="19"/>
        <v/>
      </c>
    </row>
    <row r="432" spans="1:8" x14ac:dyDescent="0.25">
      <c r="A432" s="21" t="str">
        <f t="shared" si="20"/>
        <v/>
      </c>
      <c r="B432"/>
      <c r="C432"/>
      <c r="F432"/>
      <c r="G432" s="19" t="str">
        <f t="shared" si="18"/>
        <v/>
      </c>
      <c r="H432" s="19" t="str">
        <f t="shared" si="19"/>
        <v/>
      </c>
    </row>
    <row r="433" spans="1:8" x14ac:dyDescent="0.25">
      <c r="A433" s="21" t="str">
        <f t="shared" si="20"/>
        <v/>
      </c>
      <c r="B433"/>
      <c r="C433"/>
      <c r="F433"/>
      <c r="G433" s="19" t="str">
        <f t="shared" si="18"/>
        <v/>
      </c>
      <c r="H433" s="19" t="str">
        <f t="shared" si="19"/>
        <v/>
      </c>
    </row>
    <row r="434" spans="1:8" x14ac:dyDescent="0.25">
      <c r="A434" s="21" t="str">
        <f t="shared" si="20"/>
        <v/>
      </c>
      <c r="B434"/>
      <c r="C434"/>
      <c r="F434"/>
      <c r="G434" s="19" t="str">
        <f t="shared" si="18"/>
        <v/>
      </c>
      <c r="H434" s="19" t="str">
        <f t="shared" si="19"/>
        <v/>
      </c>
    </row>
    <row r="435" spans="1:8" x14ac:dyDescent="0.25">
      <c r="A435" s="21" t="str">
        <f t="shared" si="20"/>
        <v/>
      </c>
      <c r="B435"/>
      <c r="C435"/>
      <c r="F435"/>
      <c r="G435" s="19" t="str">
        <f t="shared" si="18"/>
        <v/>
      </c>
      <c r="H435" s="19" t="str">
        <f t="shared" si="19"/>
        <v/>
      </c>
    </row>
    <row r="436" spans="1:8" x14ac:dyDescent="0.25">
      <c r="A436" s="21" t="str">
        <f t="shared" si="20"/>
        <v/>
      </c>
      <c r="B436"/>
      <c r="C436"/>
      <c r="F436"/>
      <c r="G436" s="19" t="str">
        <f t="shared" si="18"/>
        <v/>
      </c>
      <c r="H436" s="19" t="str">
        <f t="shared" si="19"/>
        <v/>
      </c>
    </row>
    <row r="437" spans="1:8" x14ac:dyDescent="0.25">
      <c r="A437" s="21" t="str">
        <f t="shared" si="20"/>
        <v/>
      </c>
      <c r="B437"/>
      <c r="C437"/>
      <c r="F437"/>
      <c r="G437" s="19" t="str">
        <f t="shared" si="18"/>
        <v/>
      </c>
      <c r="H437" s="19" t="str">
        <f t="shared" si="19"/>
        <v/>
      </c>
    </row>
    <row r="438" spans="1:8" x14ac:dyDescent="0.25">
      <c r="A438" s="21" t="str">
        <f t="shared" si="20"/>
        <v/>
      </c>
      <c r="B438"/>
      <c r="C438"/>
      <c r="F438"/>
      <c r="G438" s="19" t="str">
        <f t="shared" si="18"/>
        <v/>
      </c>
      <c r="H438" s="19" t="str">
        <f t="shared" si="19"/>
        <v/>
      </c>
    </row>
    <row r="439" spans="1:8" x14ac:dyDescent="0.25">
      <c r="A439" s="21" t="str">
        <f t="shared" si="20"/>
        <v/>
      </c>
      <c r="B439"/>
      <c r="C439"/>
      <c r="F439"/>
      <c r="G439" s="19" t="str">
        <f t="shared" si="18"/>
        <v/>
      </c>
      <c r="H439" s="19" t="str">
        <f t="shared" si="19"/>
        <v/>
      </c>
    </row>
    <row r="440" spans="1:8" x14ac:dyDescent="0.25">
      <c r="A440" s="21" t="str">
        <f t="shared" si="20"/>
        <v/>
      </c>
      <c r="B440"/>
      <c r="C440"/>
      <c r="F440"/>
      <c r="G440" s="19" t="str">
        <f t="shared" si="18"/>
        <v/>
      </c>
      <c r="H440" s="19" t="str">
        <f t="shared" si="19"/>
        <v/>
      </c>
    </row>
    <row r="441" spans="1:8" x14ac:dyDescent="0.25">
      <c r="A441" s="21" t="str">
        <f t="shared" si="20"/>
        <v/>
      </c>
      <c r="B441"/>
      <c r="C441"/>
      <c r="F441"/>
      <c r="G441" s="19" t="str">
        <f t="shared" si="18"/>
        <v/>
      </c>
      <c r="H441" s="19" t="str">
        <f t="shared" si="19"/>
        <v/>
      </c>
    </row>
    <row r="442" spans="1:8" x14ac:dyDescent="0.25">
      <c r="A442" s="21" t="str">
        <f t="shared" si="20"/>
        <v/>
      </c>
      <c r="B442"/>
      <c r="C442"/>
      <c r="F442"/>
      <c r="G442" s="19" t="str">
        <f t="shared" si="18"/>
        <v/>
      </c>
      <c r="H442" s="19" t="str">
        <f t="shared" si="19"/>
        <v/>
      </c>
    </row>
    <row r="443" spans="1:8" x14ac:dyDescent="0.25">
      <c r="A443" s="21" t="str">
        <f t="shared" si="20"/>
        <v/>
      </c>
      <c r="B443"/>
      <c r="C443"/>
      <c r="F443"/>
      <c r="G443" s="19" t="str">
        <f t="shared" si="18"/>
        <v/>
      </c>
      <c r="H443" s="19" t="str">
        <f t="shared" si="19"/>
        <v/>
      </c>
    </row>
    <row r="444" spans="1:8" x14ac:dyDescent="0.25">
      <c r="A444" s="21" t="str">
        <f t="shared" si="20"/>
        <v/>
      </c>
      <c r="B444"/>
      <c r="C444"/>
      <c r="F444"/>
      <c r="G444" s="19" t="str">
        <f t="shared" si="18"/>
        <v/>
      </c>
      <c r="H444" s="19" t="str">
        <f t="shared" si="19"/>
        <v/>
      </c>
    </row>
    <row r="445" spans="1:8" x14ac:dyDescent="0.25">
      <c r="A445" s="21" t="str">
        <f t="shared" si="20"/>
        <v/>
      </c>
      <c r="B445"/>
      <c r="C445"/>
      <c r="F445"/>
      <c r="G445" s="19" t="str">
        <f t="shared" si="18"/>
        <v/>
      </c>
      <c r="H445" s="19" t="str">
        <f t="shared" si="19"/>
        <v/>
      </c>
    </row>
    <row r="446" spans="1:8" x14ac:dyDescent="0.25">
      <c r="A446" s="21" t="str">
        <f t="shared" si="20"/>
        <v/>
      </c>
      <c r="B446"/>
      <c r="C446"/>
      <c r="F446"/>
      <c r="G446" s="19" t="str">
        <f t="shared" si="18"/>
        <v/>
      </c>
      <c r="H446" s="19" t="str">
        <f t="shared" si="19"/>
        <v/>
      </c>
    </row>
    <row r="447" spans="1:8" x14ac:dyDescent="0.25">
      <c r="A447" s="21" t="str">
        <f t="shared" si="20"/>
        <v/>
      </c>
      <c r="B447"/>
      <c r="C447"/>
      <c r="F447"/>
      <c r="G447" s="19" t="str">
        <f t="shared" si="18"/>
        <v/>
      </c>
      <c r="H447" s="19" t="str">
        <f t="shared" si="19"/>
        <v/>
      </c>
    </row>
    <row r="448" spans="1:8" x14ac:dyDescent="0.25">
      <c r="A448" s="21" t="str">
        <f t="shared" si="20"/>
        <v/>
      </c>
      <c r="B448"/>
      <c r="C448"/>
      <c r="F448"/>
      <c r="G448" s="19" t="str">
        <f t="shared" si="18"/>
        <v/>
      </c>
      <c r="H448" s="19" t="str">
        <f t="shared" si="19"/>
        <v/>
      </c>
    </row>
    <row r="449" spans="1:8" x14ac:dyDescent="0.25">
      <c r="A449" s="21" t="str">
        <f t="shared" si="20"/>
        <v/>
      </c>
      <c r="B449"/>
      <c r="C449"/>
      <c r="F449"/>
      <c r="G449" s="19" t="str">
        <f t="shared" si="18"/>
        <v/>
      </c>
      <c r="H449" s="19" t="str">
        <f t="shared" si="19"/>
        <v/>
      </c>
    </row>
    <row r="450" spans="1:8" x14ac:dyDescent="0.25">
      <c r="A450" s="21" t="str">
        <f t="shared" si="20"/>
        <v/>
      </c>
      <c r="B450"/>
      <c r="C450"/>
      <c r="F450"/>
      <c r="G450" s="19" t="str">
        <f t="shared" si="18"/>
        <v/>
      </c>
      <c r="H450" s="19" t="str">
        <f t="shared" si="19"/>
        <v/>
      </c>
    </row>
    <row r="451" spans="1:8" x14ac:dyDescent="0.25">
      <c r="A451" s="21" t="str">
        <f t="shared" si="20"/>
        <v/>
      </c>
      <c r="B451"/>
      <c r="C451"/>
      <c r="F451"/>
      <c r="G451" s="19" t="str">
        <f t="shared" si="18"/>
        <v/>
      </c>
      <c r="H451" s="19" t="str">
        <f t="shared" si="19"/>
        <v/>
      </c>
    </row>
    <row r="452" spans="1:8" x14ac:dyDescent="0.25">
      <c r="A452" s="21" t="str">
        <f t="shared" si="20"/>
        <v/>
      </c>
      <c r="B452"/>
      <c r="C452"/>
      <c r="F452"/>
      <c r="G452" s="19" t="str">
        <f t="shared" ref="G452:G515" si="21">IFERROR(VLOOKUP(F452,$A$3:$C$1002,2,FALSE),"")</f>
        <v/>
      </c>
      <c r="H452" s="19" t="str">
        <f t="shared" ref="H452:H515" si="22">IFERROR(VLOOKUP(F452,$A$3:$C$1002,3,FALSE),"")</f>
        <v/>
      </c>
    </row>
    <row r="453" spans="1:8" x14ac:dyDescent="0.25">
      <c r="A453" s="21" t="str">
        <f t="shared" ref="A453:A516" si="23">IF(LEN(B453)&gt;0,RANK(C453,C$3:C$1002,0),"")</f>
        <v/>
      </c>
      <c r="B453"/>
      <c r="C453"/>
      <c r="F453"/>
      <c r="G453" s="19" t="str">
        <f t="shared" si="21"/>
        <v/>
      </c>
      <c r="H453" s="19" t="str">
        <f t="shared" si="22"/>
        <v/>
      </c>
    </row>
    <row r="454" spans="1:8" x14ac:dyDescent="0.25">
      <c r="A454" s="21" t="str">
        <f t="shared" si="23"/>
        <v/>
      </c>
      <c r="B454"/>
      <c r="C454"/>
      <c r="F454"/>
      <c r="G454" s="19" t="str">
        <f t="shared" si="21"/>
        <v/>
      </c>
      <c r="H454" s="19" t="str">
        <f t="shared" si="22"/>
        <v/>
      </c>
    </row>
    <row r="455" spans="1:8" x14ac:dyDescent="0.25">
      <c r="A455" s="21" t="str">
        <f t="shared" si="23"/>
        <v/>
      </c>
      <c r="B455"/>
      <c r="C455"/>
      <c r="F455"/>
      <c r="G455" s="19" t="str">
        <f t="shared" si="21"/>
        <v/>
      </c>
      <c r="H455" s="19" t="str">
        <f t="shared" si="22"/>
        <v/>
      </c>
    </row>
    <row r="456" spans="1:8" x14ac:dyDescent="0.25">
      <c r="A456" s="21" t="str">
        <f t="shared" si="23"/>
        <v/>
      </c>
      <c r="B456"/>
      <c r="C456"/>
      <c r="F456"/>
      <c r="G456" s="19" t="str">
        <f t="shared" si="21"/>
        <v/>
      </c>
      <c r="H456" s="19" t="str">
        <f t="shared" si="22"/>
        <v/>
      </c>
    </row>
    <row r="457" spans="1:8" x14ac:dyDescent="0.25">
      <c r="A457" s="21" t="str">
        <f t="shared" si="23"/>
        <v/>
      </c>
      <c r="B457"/>
      <c r="C457"/>
      <c r="F457"/>
      <c r="G457" s="19" t="str">
        <f t="shared" si="21"/>
        <v/>
      </c>
      <c r="H457" s="19" t="str">
        <f t="shared" si="22"/>
        <v/>
      </c>
    </row>
    <row r="458" spans="1:8" x14ac:dyDescent="0.25">
      <c r="A458" s="21" t="str">
        <f t="shared" si="23"/>
        <v/>
      </c>
      <c r="B458"/>
      <c r="C458"/>
      <c r="F458"/>
      <c r="G458" s="19" t="str">
        <f t="shared" si="21"/>
        <v/>
      </c>
      <c r="H458" s="19" t="str">
        <f t="shared" si="22"/>
        <v/>
      </c>
    </row>
    <row r="459" spans="1:8" x14ac:dyDescent="0.25">
      <c r="A459" s="21" t="str">
        <f t="shared" si="23"/>
        <v/>
      </c>
      <c r="B459"/>
      <c r="C459"/>
      <c r="F459"/>
      <c r="G459" s="19" t="str">
        <f t="shared" si="21"/>
        <v/>
      </c>
      <c r="H459" s="19" t="str">
        <f t="shared" si="22"/>
        <v/>
      </c>
    </row>
    <row r="460" spans="1:8" x14ac:dyDescent="0.25">
      <c r="A460" s="21" t="str">
        <f t="shared" si="23"/>
        <v/>
      </c>
      <c r="B460"/>
      <c r="C460"/>
      <c r="F460"/>
      <c r="G460" s="19" t="str">
        <f t="shared" si="21"/>
        <v/>
      </c>
      <c r="H460" s="19" t="str">
        <f t="shared" si="22"/>
        <v/>
      </c>
    </row>
    <row r="461" spans="1:8" x14ac:dyDescent="0.25">
      <c r="A461" s="21" t="str">
        <f t="shared" si="23"/>
        <v/>
      </c>
      <c r="B461"/>
      <c r="C461"/>
      <c r="F461"/>
      <c r="G461" s="19" t="str">
        <f t="shared" si="21"/>
        <v/>
      </c>
      <c r="H461" s="19" t="str">
        <f t="shared" si="22"/>
        <v/>
      </c>
    </row>
    <row r="462" spans="1:8" x14ac:dyDescent="0.25">
      <c r="A462" s="21" t="str">
        <f t="shared" si="23"/>
        <v/>
      </c>
      <c r="B462"/>
      <c r="C462"/>
      <c r="F462"/>
      <c r="G462" s="19" t="str">
        <f t="shared" si="21"/>
        <v/>
      </c>
      <c r="H462" s="19" t="str">
        <f t="shared" si="22"/>
        <v/>
      </c>
    </row>
    <row r="463" spans="1:8" x14ac:dyDescent="0.25">
      <c r="A463" s="21" t="str">
        <f t="shared" si="23"/>
        <v/>
      </c>
      <c r="B463"/>
      <c r="C463"/>
      <c r="F463"/>
      <c r="G463" s="19" t="str">
        <f t="shared" si="21"/>
        <v/>
      </c>
      <c r="H463" s="19" t="str">
        <f t="shared" si="22"/>
        <v/>
      </c>
    </row>
    <row r="464" spans="1:8" x14ac:dyDescent="0.25">
      <c r="A464" s="21" t="str">
        <f t="shared" si="23"/>
        <v/>
      </c>
      <c r="B464"/>
      <c r="C464"/>
      <c r="F464"/>
      <c r="G464" s="19" t="str">
        <f t="shared" si="21"/>
        <v/>
      </c>
      <c r="H464" s="19" t="str">
        <f t="shared" si="22"/>
        <v/>
      </c>
    </row>
    <row r="465" spans="1:8" x14ac:dyDescent="0.25">
      <c r="A465" s="21" t="str">
        <f t="shared" si="23"/>
        <v/>
      </c>
      <c r="B465"/>
      <c r="C465"/>
      <c r="F465"/>
      <c r="G465" s="19" t="str">
        <f t="shared" si="21"/>
        <v/>
      </c>
      <c r="H465" s="19" t="str">
        <f t="shared" si="22"/>
        <v/>
      </c>
    </row>
    <row r="466" spans="1:8" x14ac:dyDescent="0.25">
      <c r="A466" s="21" t="str">
        <f t="shared" si="23"/>
        <v/>
      </c>
      <c r="B466"/>
      <c r="C466"/>
      <c r="F466"/>
      <c r="G466" s="19" t="str">
        <f t="shared" si="21"/>
        <v/>
      </c>
      <c r="H466" s="19" t="str">
        <f t="shared" si="22"/>
        <v/>
      </c>
    </row>
    <row r="467" spans="1:8" x14ac:dyDescent="0.25">
      <c r="A467" s="21" t="str">
        <f t="shared" si="23"/>
        <v/>
      </c>
      <c r="B467"/>
      <c r="C467"/>
      <c r="F467"/>
      <c r="G467" s="19" t="str">
        <f t="shared" si="21"/>
        <v/>
      </c>
      <c r="H467" s="19" t="str">
        <f t="shared" si="22"/>
        <v/>
      </c>
    </row>
    <row r="468" spans="1:8" x14ac:dyDescent="0.25">
      <c r="A468" s="21" t="str">
        <f t="shared" si="23"/>
        <v/>
      </c>
      <c r="B468"/>
      <c r="C468"/>
      <c r="F468"/>
      <c r="G468" s="19" t="str">
        <f t="shared" si="21"/>
        <v/>
      </c>
      <c r="H468" s="19" t="str">
        <f t="shared" si="22"/>
        <v/>
      </c>
    </row>
    <row r="469" spans="1:8" x14ac:dyDescent="0.25">
      <c r="A469" s="21" t="str">
        <f t="shared" si="23"/>
        <v/>
      </c>
      <c r="B469"/>
      <c r="C469"/>
      <c r="F469"/>
      <c r="G469" s="19" t="str">
        <f t="shared" si="21"/>
        <v/>
      </c>
      <c r="H469" s="19" t="str">
        <f t="shared" si="22"/>
        <v/>
      </c>
    </row>
    <row r="470" spans="1:8" x14ac:dyDescent="0.25">
      <c r="A470" s="21" t="str">
        <f t="shared" si="23"/>
        <v/>
      </c>
      <c r="B470"/>
      <c r="C470"/>
      <c r="F470"/>
      <c r="G470" s="19" t="str">
        <f t="shared" si="21"/>
        <v/>
      </c>
      <c r="H470" s="19" t="str">
        <f t="shared" si="22"/>
        <v/>
      </c>
    </row>
    <row r="471" spans="1:8" x14ac:dyDescent="0.25">
      <c r="A471" s="21" t="str">
        <f t="shared" si="23"/>
        <v/>
      </c>
      <c r="B471"/>
      <c r="C471"/>
      <c r="F471"/>
      <c r="G471" s="19" t="str">
        <f t="shared" si="21"/>
        <v/>
      </c>
      <c r="H471" s="19" t="str">
        <f t="shared" si="22"/>
        <v/>
      </c>
    </row>
    <row r="472" spans="1:8" x14ac:dyDescent="0.25">
      <c r="A472" s="21" t="str">
        <f t="shared" si="23"/>
        <v/>
      </c>
      <c r="B472"/>
      <c r="C472"/>
      <c r="F472"/>
      <c r="G472" s="19" t="str">
        <f t="shared" si="21"/>
        <v/>
      </c>
      <c r="H472" s="19" t="str">
        <f t="shared" si="22"/>
        <v/>
      </c>
    </row>
    <row r="473" spans="1:8" x14ac:dyDescent="0.25">
      <c r="A473" s="21" t="str">
        <f t="shared" si="23"/>
        <v/>
      </c>
      <c r="B473"/>
      <c r="C473"/>
      <c r="F473"/>
      <c r="G473" s="19" t="str">
        <f t="shared" si="21"/>
        <v/>
      </c>
      <c r="H473" s="19" t="str">
        <f t="shared" si="22"/>
        <v/>
      </c>
    </row>
    <row r="474" spans="1:8" x14ac:dyDescent="0.25">
      <c r="A474" s="21" t="str">
        <f t="shared" si="23"/>
        <v/>
      </c>
      <c r="B474"/>
      <c r="C474"/>
      <c r="F474"/>
      <c r="G474" s="19" t="str">
        <f t="shared" si="21"/>
        <v/>
      </c>
      <c r="H474" s="19" t="str">
        <f t="shared" si="22"/>
        <v/>
      </c>
    </row>
    <row r="475" spans="1:8" x14ac:dyDescent="0.25">
      <c r="A475" s="21" t="str">
        <f t="shared" si="23"/>
        <v/>
      </c>
      <c r="B475"/>
      <c r="C475"/>
      <c r="F475"/>
      <c r="G475" s="19" t="str">
        <f t="shared" si="21"/>
        <v/>
      </c>
      <c r="H475" s="19" t="str">
        <f t="shared" si="22"/>
        <v/>
      </c>
    </row>
    <row r="476" spans="1:8" x14ac:dyDescent="0.25">
      <c r="A476" s="21" t="str">
        <f t="shared" si="23"/>
        <v/>
      </c>
      <c r="B476"/>
      <c r="C476"/>
      <c r="F476"/>
      <c r="G476" s="19" t="str">
        <f t="shared" si="21"/>
        <v/>
      </c>
      <c r="H476" s="19" t="str">
        <f t="shared" si="22"/>
        <v/>
      </c>
    </row>
    <row r="477" spans="1:8" x14ac:dyDescent="0.25">
      <c r="A477" s="21" t="str">
        <f t="shared" si="23"/>
        <v/>
      </c>
      <c r="B477"/>
      <c r="C477"/>
      <c r="F477"/>
      <c r="G477" s="19" t="str">
        <f t="shared" si="21"/>
        <v/>
      </c>
      <c r="H477" s="19" t="str">
        <f t="shared" si="22"/>
        <v/>
      </c>
    </row>
    <row r="478" spans="1:8" x14ac:dyDescent="0.25">
      <c r="A478" s="21" t="str">
        <f t="shared" si="23"/>
        <v/>
      </c>
      <c r="B478"/>
      <c r="C478"/>
      <c r="F478"/>
      <c r="G478" s="19" t="str">
        <f t="shared" si="21"/>
        <v/>
      </c>
      <c r="H478" s="19" t="str">
        <f t="shared" si="22"/>
        <v/>
      </c>
    </row>
    <row r="479" spans="1:8" x14ac:dyDescent="0.25">
      <c r="A479" s="21" t="str">
        <f t="shared" si="23"/>
        <v/>
      </c>
      <c r="B479"/>
      <c r="C479"/>
      <c r="F479"/>
      <c r="G479" s="19" t="str">
        <f t="shared" si="21"/>
        <v/>
      </c>
      <c r="H479" s="19" t="str">
        <f t="shared" si="22"/>
        <v/>
      </c>
    </row>
    <row r="480" spans="1:8" x14ac:dyDescent="0.25">
      <c r="A480" s="21" t="str">
        <f t="shared" si="23"/>
        <v/>
      </c>
      <c r="B480"/>
      <c r="C480"/>
      <c r="F480"/>
      <c r="G480" s="19" t="str">
        <f t="shared" si="21"/>
        <v/>
      </c>
      <c r="H480" s="19" t="str">
        <f t="shared" si="22"/>
        <v/>
      </c>
    </row>
    <row r="481" spans="1:8" x14ac:dyDescent="0.25">
      <c r="A481" s="21" t="str">
        <f t="shared" si="23"/>
        <v/>
      </c>
      <c r="B481"/>
      <c r="C481"/>
      <c r="F481"/>
      <c r="G481" s="19" t="str">
        <f t="shared" si="21"/>
        <v/>
      </c>
      <c r="H481" s="19" t="str">
        <f t="shared" si="22"/>
        <v/>
      </c>
    </row>
    <row r="482" spans="1:8" x14ac:dyDescent="0.25">
      <c r="A482" s="21" t="str">
        <f t="shared" si="23"/>
        <v/>
      </c>
      <c r="B482"/>
      <c r="C482"/>
      <c r="F482"/>
      <c r="G482" s="19" t="str">
        <f t="shared" si="21"/>
        <v/>
      </c>
      <c r="H482" s="19" t="str">
        <f t="shared" si="22"/>
        <v/>
      </c>
    </row>
    <row r="483" spans="1:8" x14ac:dyDescent="0.25">
      <c r="A483" s="21" t="str">
        <f t="shared" si="23"/>
        <v/>
      </c>
      <c r="B483"/>
      <c r="C483"/>
      <c r="F483"/>
      <c r="G483" s="19" t="str">
        <f t="shared" si="21"/>
        <v/>
      </c>
      <c r="H483" s="19" t="str">
        <f t="shared" si="22"/>
        <v/>
      </c>
    </row>
    <row r="484" spans="1:8" x14ac:dyDescent="0.25">
      <c r="A484" s="21" t="str">
        <f t="shared" si="23"/>
        <v/>
      </c>
      <c r="B484"/>
      <c r="C484"/>
      <c r="F484"/>
      <c r="G484" s="19" t="str">
        <f t="shared" si="21"/>
        <v/>
      </c>
      <c r="H484" s="19" t="str">
        <f t="shared" si="22"/>
        <v/>
      </c>
    </row>
    <row r="485" spans="1:8" x14ac:dyDescent="0.25">
      <c r="A485" s="21" t="str">
        <f t="shared" si="23"/>
        <v/>
      </c>
      <c r="B485"/>
      <c r="C485"/>
      <c r="F485"/>
      <c r="G485" s="19" t="str">
        <f t="shared" si="21"/>
        <v/>
      </c>
      <c r="H485" s="19" t="str">
        <f t="shared" si="22"/>
        <v/>
      </c>
    </row>
    <row r="486" spans="1:8" x14ac:dyDescent="0.25">
      <c r="A486" s="21" t="str">
        <f t="shared" si="23"/>
        <v/>
      </c>
      <c r="B486"/>
      <c r="C486"/>
      <c r="F486"/>
      <c r="G486" s="19" t="str">
        <f t="shared" si="21"/>
        <v/>
      </c>
      <c r="H486" s="19" t="str">
        <f t="shared" si="22"/>
        <v/>
      </c>
    </row>
    <row r="487" spans="1:8" x14ac:dyDescent="0.25">
      <c r="A487" s="21" t="str">
        <f t="shared" si="23"/>
        <v/>
      </c>
      <c r="B487"/>
      <c r="C487"/>
      <c r="F487"/>
      <c r="G487" s="19" t="str">
        <f t="shared" si="21"/>
        <v/>
      </c>
      <c r="H487" s="19" t="str">
        <f t="shared" si="22"/>
        <v/>
      </c>
    </row>
    <row r="488" spans="1:8" x14ac:dyDescent="0.25">
      <c r="A488" s="21" t="str">
        <f t="shared" si="23"/>
        <v/>
      </c>
      <c r="B488"/>
      <c r="C488"/>
      <c r="F488"/>
      <c r="G488" s="19" t="str">
        <f t="shared" si="21"/>
        <v/>
      </c>
      <c r="H488" s="19" t="str">
        <f t="shared" si="22"/>
        <v/>
      </c>
    </row>
    <row r="489" spans="1:8" x14ac:dyDescent="0.25">
      <c r="A489" s="21" t="str">
        <f t="shared" si="23"/>
        <v/>
      </c>
      <c r="B489"/>
      <c r="C489"/>
      <c r="F489"/>
      <c r="G489" s="19" t="str">
        <f t="shared" si="21"/>
        <v/>
      </c>
      <c r="H489" s="19" t="str">
        <f t="shared" si="22"/>
        <v/>
      </c>
    </row>
    <row r="490" spans="1:8" x14ac:dyDescent="0.25">
      <c r="A490" s="21" t="str">
        <f t="shared" si="23"/>
        <v/>
      </c>
      <c r="B490"/>
      <c r="C490"/>
      <c r="F490"/>
      <c r="G490" s="19" t="str">
        <f t="shared" si="21"/>
        <v/>
      </c>
      <c r="H490" s="19" t="str">
        <f t="shared" si="22"/>
        <v/>
      </c>
    </row>
    <row r="491" spans="1:8" x14ac:dyDescent="0.25">
      <c r="A491" s="21" t="str">
        <f t="shared" si="23"/>
        <v/>
      </c>
      <c r="B491"/>
      <c r="C491"/>
      <c r="F491"/>
      <c r="G491" s="19" t="str">
        <f t="shared" si="21"/>
        <v/>
      </c>
      <c r="H491" s="19" t="str">
        <f t="shared" si="22"/>
        <v/>
      </c>
    </row>
    <row r="492" spans="1:8" x14ac:dyDescent="0.25">
      <c r="A492" s="21" t="str">
        <f t="shared" si="23"/>
        <v/>
      </c>
      <c r="B492"/>
      <c r="C492"/>
      <c r="F492"/>
      <c r="G492" s="19" t="str">
        <f t="shared" si="21"/>
        <v/>
      </c>
      <c r="H492" s="19" t="str">
        <f t="shared" si="22"/>
        <v/>
      </c>
    </row>
    <row r="493" spans="1:8" x14ac:dyDescent="0.25">
      <c r="A493" s="21" t="str">
        <f t="shared" si="23"/>
        <v/>
      </c>
      <c r="B493"/>
      <c r="C493"/>
      <c r="F493"/>
      <c r="G493" s="19" t="str">
        <f t="shared" si="21"/>
        <v/>
      </c>
      <c r="H493" s="19" t="str">
        <f t="shared" si="22"/>
        <v/>
      </c>
    </row>
    <row r="494" spans="1:8" x14ac:dyDescent="0.25">
      <c r="A494" s="21" t="str">
        <f t="shared" si="23"/>
        <v/>
      </c>
      <c r="B494"/>
      <c r="C494"/>
      <c r="F494"/>
      <c r="G494" s="19" t="str">
        <f t="shared" si="21"/>
        <v/>
      </c>
      <c r="H494" s="19" t="str">
        <f t="shared" si="22"/>
        <v/>
      </c>
    </row>
    <row r="495" spans="1:8" x14ac:dyDescent="0.25">
      <c r="A495" s="21" t="str">
        <f t="shared" si="23"/>
        <v/>
      </c>
      <c r="B495"/>
      <c r="C495"/>
      <c r="F495"/>
      <c r="G495" s="19" t="str">
        <f t="shared" si="21"/>
        <v/>
      </c>
      <c r="H495" s="19" t="str">
        <f t="shared" si="22"/>
        <v/>
      </c>
    </row>
    <row r="496" spans="1:8" x14ac:dyDescent="0.25">
      <c r="A496" s="21" t="str">
        <f t="shared" si="23"/>
        <v/>
      </c>
      <c r="B496"/>
      <c r="C496"/>
      <c r="F496"/>
      <c r="G496" s="19" t="str">
        <f t="shared" si="21"/>
        <v/>
      </c>
      <c r="H496" s="19" t="str">
        <f t="shared" si="22"/>
        <v/>
      </c>
    </row>
    <row r="497" spans="1:8" x14ac:dyDescent="0.25">
      <c r="A497" s="21" t="str">
        <f t="shared" si="23"/>
        <v/>
      </c>
      <c r="B497"/>
      <c r="C497"/>
      <c r="F497"/>
      <c r="G497" s="19" t="str">
        <f t="shared" si="21"/>
        <v/>
      </c>
      <c r="H497" s="19" t="str">
        <f t="shared" si="22"/>
        <v/>
      </c>
    </row>
    <row r="498" spans="1:8" x14ac:dyDescent="0.25">
      <c r="A498" s="21" t="str">
        <f t="shared" si="23"/>
        <v/>
      </c>
      <c r="B498"/>
      <c r="C498"/>
      <c r="F498"/>
      <c r="G498" s="19" t="str">
        <f t="shared" si="21"/>
        <v/>
      </c>
      <c r="H498" s="19" t="str">
        <f t="shared" si="22"/>
        <v/>
      </c>
    </row>
    <row r="499" spans="1:8" x14ac:dyDescent="0.25">
      <c r="A499" s="21" t="str">
        <f t="shared" si="23"/>
        <v/>
      </c>
      <c r="B499"/>
      <c r="C499"/>
      <c r="F499"/>
      <c r="G499" s="19" t="str">
        <f t="shared" si="21"/>
        <v/>
      </c>
      <c r="H499" s="19" t="str">
        <f t="shared" si="22"/>
        <v/>
      </c>
    </row>
    <row r="500" spans="1:8" x14ac:dyDescent="0.25">
      <c r="A500" s="21" t="str">
        <f t="shared" si="23"/>
        <v/>
      </c>
      <c r="B500"/>
      <c r="C500"/>
      <c r="F500"/>
      <c r="G500" s="19" t="str">
        <f t="shared" si="21"/>
        <v/>
      </c>
      <c r="H500" s="19" t="str">
        <f t="shared" si="22"/>
        <v/>
      </c>
    </row>
    <row r="501" spans="1:8" x14ac:dyDescent="0.25">
      <c r="A501" s="21" t="str">
        <f t="shared" si="23"/>
        <v/>
      </c>
      <c r="B501"/>
      <c r="C501"/>
      <c r="F501"/>
      <c r="G501" s="19" t="str">
        <f t="shared" si="21"/>
        <v/>
      </c>
      <c r="H501" s="19" t="str">
        <f t="shared" si="22"/>
        <v/>
      </c>
    </row>
    <row r="502" spans="1:8" x14ac:dyDescent="0.25">
      <c r="A502" s="21" t="str">
        <f t="shared" si="23"/>
        <v/>
      </c>
      <c r="B502"/>
      <c r="C502"/>
      <c r="F502"/>
      <c r="G502" s="19" t="str">
        <f t="shared" si="21"/>
        <v/>
      </c>
      <c r="H502" s="19" t="str">
        <f t="shared" si="22"/>
        <v/>
      </c>
    </row>
    <row r="503" spans="1:8" x14ac:dyDescent="0.25">
      <c r="A503" s="21" t="str">
        <f t="shared" si="23"/>
        <v/>
      </c>
      <c r="B503"/>
      <c r="C503"/>
      <c r="F503"/>
      <c r="G503" s="19" t="str">
        <f t="shared" si="21"/>
        <v/>
      </c>
      <c r="H503" s="19" t="str">
        <f t="shared" si="22"/>
        <v/>
      </c>
    </row>
    <row r="504" spans="1:8" x14ac:dyDescent="0.25">
      <c r="A504" s="21" t="str">
        <f t="shared" si="23"/>
        <v/>
      </c>
      <c r="B504"/>
      <c r="C504"/>
      <c r="F504"/>
      <c r="G504" s="19" t="str">
        <f t="shared" si="21"/>
        <v/>
      </c>
      <c r="H504" s="19" t="str">
        <f t="shared" si="22"/>
        <v/>
      </c>
    </row>
    <row r="505" spans="1:8" x14ac:dyDescent="0.25">
      <c r="A505" s="21" t="str">
        <f t="shared" si="23"/>
        <v/>
      </c>
      <c r="B505"/>
      <c r="C505"/>
      <c r="F505"/>
      <c r="G505" s="19" t="str">
        <f t="shared" si="21"/>
        <v/>
      </c>
      <c r="H505" s="19" t="str">
        <f t="shared" si="22"/>
        <v/>
      </c>
    </row>
    <row r="506" spans="1:8" x14ac:dyDescent="0.25">
      <c r="A506" s="21" t="str">
        <f t="shared" si="23"/>
        <v/>
      </c>
      <c r="B506"/>
      <c r="C506"/>
      <c r="F506"/>
      <c r="G506" s="19" t="str">
        <f t="shared" si="21"/>
        <v/>
      </c>
      <c r="H506" s="19" t="str">
        <f t="shared" si="22"/>
        <v/>
      </c>
    </row>
    <row r="507" spans="1:8" x14ac:dyDescent="0.25">
      <c r="A507" s="21" t="str">
        <f t="shared" si="23"/>
        <v/>
      </c>
      <c r="B507"/>
      <c r="C507"/>
      <c r="F507"/>
      <c r="G507" s="19" t="str">
        <f t="shared" si="21"/>
        <v/>
      </c>
      <c r="H507" s="19" t="str">
        <f t="shared" si="22"/>
        <v/>
      </c>
    </row>
    <row r="508" spans="1:8" x14ac:dyDescent="0.25">
      <c r="A508" s="21" t="str">
        <f t="shared" si="23"/>
        <v/>
      </c>
      <c r="B508"/>
      <c r="C508"/>
      <c r="F508"/>
      <c r="G508" s="19" t="str">
        <f t="shared" si="21"/>
        <v/>
      </c>
      <c r="H508" s="19" t="str">
        <f t="shared" si="22"/>
        <v/>
      </c>
    </row>
    <row r="509" spans="1:8" x14ac:dyDescent="0.25">
      <c r="A509" s="21" t="str">
        <f t="shared" si="23"/>
        <v/>
      </c>
      <c r="B509"/>
      <c r="C509"/>
      <c r="F509"/>
      <c r="G509" s="19" t="str">
        <f t="shared" si="21"/>
        <v/>
      </c>
      <c r="H509" s="19" t="str">
        <f t="shared" si="22"/>
        <v/>
      </c>
    </row>
    <row r="510" spans="1:8" x14ac:dyDescent="0.25">
      <c r="A510" s="21" t="str">
        <f t="shared" si="23"/>
        <v/>
      </c>
      <c r="B510"/>
      <c r="C510"/>
      <c r="F510"/>
      <c r="G510" s="19" t="str">
        <f t="shared" si="21"/>
        <v/>
      </c>
      <c r="H510" s="19" t="str">
        <f t="shared" si="22"/>
        <v/>
      </c>
    </row>
    <row r="511" spans="1:8" x14ac:dyDescent="0.25">
      <c r="A511" s="21" t="str">
        <f t="shared" si="23"/>
        <v/>
      </c>
      <c r="B511"/>
      <c r="C511"/>
      <c r="F511"/>
      <c r="G511" s="19" t="str">
        <f t="shared" si="21"/>
        <v/>
      </c>
      <c r="H511" s="19" t="str">
        <f t="shared" si="22"/>
        <v/>
      </c>
    </row>
    <row r="512" spans="1:8" x14ac:dyDescent="0.25">
      <c r="A512" s="21" t="str">
        <f t="shared" si="23"/>
        <v/>
      </c>
      <c r="B512"/>
      <c r="C512"/>
      <c r="F512"/>
      <c r="G512" s="19" t="str">
        <f t="shared" si="21"/>
        <v/>
      </c>
      <c r="H512" s="19" t="str">
        <f t="shared" si="22"/>
        <v/>
      </c>
    </row>
    <row r="513" spans="1:8" x14ac:dyDescent="0.25">
      <c r="A513" s="21" t="str">
        <f t="shared" si="23"/>
        <v/>
      </c>
      <c r="B513"/>
      <c r="C513"/>
      <c r="F513"/>
      <c r="G513" s="19" t="str">
        <f t="shared" si="21"/>
        <v/>
      </c>
      <c r="H513" s="19" t="str">
        <f t="shared" si="22"/>
        <v/>
      </c>
    </row>
    <row r="514" spans="1:8" x14ac:dyDescent="0.25">
      <c r="A514" s="21" t="str">
        <f t="shared" si="23"/>
        <v/>
      </c>
      <c r="B514"/>
      <c r="C514"/>
      <c r="F514"/>
      <c r="G514" s="19" t="str">
        <f t="shared" si="21"/>
        <v/>
      </c>
      <c r="H514" s="19" t="str">
        <f t="shared" si="22"/>
        <v/>
      </c>
    </row>
    <row r="515" spans="1:8" x14ac:dyDescent="0.25">
      <c r="A515" s="21" t="str">
        <f t="shared" si="23"/>
        <v/>
      </c>
      <c r="B515"/>
      <c r="C515"/>
      <c r="F515"/>
      <c r="G515" s="19" t="str">
        <f t="shared" si="21"/>
        <v/>
      </c>
      <c r="H515" s="19" t="str">
        <f t="shared" si="22"/>
        <v/>
      </c>
    </row>
    <row r="516" spans="1:8" x14ac:dyDescent="0.25">
      <c r="A516" s="21" t="str">
        <f t="shared" si="23"/>
        <v/>
      </c>
      <c r="B516"/>
      <c r="C516"/>
      <c r="F516"/>
      <c r="G516" s="19" t="str">
        <f t="shared" ref="G516:G579" si="24">IFERROR(VLOOKUP(F516,$A$3:$C$1002,2,FALSE),"")</f>
        <v/>
      </c>
      <c r="H516" s="19" t="str">
        <f t="shared" ref="H516:H579" si="25">IFERROR(VLOOKUP(F516,$A$3:$C$1002,3,FALSE),"")</f>
        <v/>
      </c>
    </row>
    <row r="517" spans="1:8" x14ac:dyDescent="0.25">
      <c r="A517" s="21" t="str">
        <f t="shared" ref="A517:A580" si="26">IF(LEN(B517)&gt;0,RANK(C517,C$3:C$1002,0),"")</f>
        <v/>
      </c>
      <c r="B517"/>
      <c r="C517"/>
      <c r="F517"/>
      <c r="G517" s="19" t="str">
        <f t="shared" si="24"/>
        <v/>
      </c>
      <c r="H517" s="19" t="str">
        <f t="shared" si="25"/>
        <v/>
      </c>
    </row>
    <row r="518" spans="1:8" x14ac:dyDescent="0.25">
      <c r="A518" s="21" t="str">
        <f t="shared" si="26"/>
        <v/>
      </c>
      <c r="B518"/>
      <c r="C518"/>
      <c r="F518"/>
      <c r="G518" s="19" t="str">
        <f t="shared" si="24"/>
        <v/>
      </c>
      <c r="H518" s="19" t="str">
        <f t="shared" si="25"/>
        <v/>
      </c>
    </row>
    <row r="519" spans="1:8" x14ac:dyDescent="0.25">
      <c r="A519" s="21" t="str">
        <f t="shared" si="26"/>
        <v/>
      </c>
      <c r="B519"/>
      <c r="C519"/>
      <c r="F519"/>
      <c r="G519" s="19" t="str">
        <f t="shared" si="24"/>
        <v/>
      </c>
      <c r="H519" s="19" t="str">
        <f t="shared" si="25"/>
        <v/>
      </c>
    </row>
    <row r="520" spans="1:8" x14ac:dyDescent="0.25">
      <c r="A520" s="21" t="str">
        <f t="shared" si="26"/>
        <v/>
      </c>
      <c r="B520"/>
      <c r="C520"/>
      <c r="F520"/>
      <c r="G520" s="19" t="str">
        <f t="shared" si="24"/>
        <v/>
      </c>
      <c r="H520" s="19" t="str">
        <f t="shared" si="25"/>
        <v/>
      </c>
    </row>
    <row r="521" spans="1:8" x14ac:dyDescent="0.25">
      <c r="A521" s="21" t="str">
        <f t="shared" si="26"/>
        <v/>
      </c>
      <c r="B521"/>
      <c r="C521"/>
      <c r="F521"/>
      <c r="G521" s="19" t="str">
        <f t="shared" si="24"/>
        <v/>
      </c>
      <c r="H521" s="19" t="str">
        <f t="shared" si="25"/>
        <v/>
      </c>
    </row>
    <row r="522" spans="1:8" x14ac:dyDescent="0.25">
      <c r="A522" s="21" t="str">
        <f t="shared" si="26"/>
        <v/>
      </c>
      <c r="B522"/>
      <c r="C522"/>
      <c r="F522"/>
      <c r="G522" s="19" t="str">
        <f t="shared" si="24"/>
        <v/>
      </c>
      <c r="H522" s="19" t="str">
        <f t="shared" si="25"/>
        <v/>
      </c>
    </row>
    <row r="523" spans="1:8" x14ac:dyDescent="0.25">
      <c r="A523" s="21" t="str">
        <f t="shared" si="26"/>
        <v/>
      </c>
      <c r="B523"/>
      <c r="C523"/>
      <c r="F523"/>
      <c r="G523" s="19" t="str">
        <f t="shared" si="24"/>
        <v/>
      </c>
      <c r="H523" s="19" t="str">
        <f t="shared" si="25"/>
        <v/>
      </c>
    </row>
    <row r="524" spans="1:8" x14ac:dyDescent="0.25">
      <c r="A524" s="21" t="str">
        <f t="shared" si="26"/>
        <v/>
      </c>
      <c r="B524"/>
      <c r="C524"/>
      <c r="F524"/>
      <c r="G524" s="19" t="str">
        <f t="shared" si="24"/>
        <v/>
      </c>
      <c r="H524" s="19" t="str">
        <f t="shared" si="25"/>
        <v/>
      </c>
    </row>
    <row r="525" spans="1:8" x14ac:dyDescent="0.25">
      <c r="A525" s="21" t="str">
        <f t="shared" si="26"/>
        <v/>
      </c>
      <c r="B525"/>
      <c r="C525"/>
      <c r="F525"/>
      <c r="G525" s="19" t="str">
        <f t="shared" si="24"/>
        <v/>
      </c>
      <c r="H525" s="19" t="str">
        <f t="shared" si="25"/>
        <v/>
      </c>
    </row>
    <row r="526" spans="1:8" x14ac:dyDescent="0.25">
      <c r="A526" s="21" t="str">
        <f t="shared" si="26"/>
        <v/>
      </c>
      <c r="B526"/>
      <c r="C526"/>
      <c r="F526"/>
      <c r="G526" s="19" t="str">
        <f t="shared" si="24"/>
        <v/>
      </c>
      <c r="H526" s="19" t="str">
        <f t="shared" si="25"/>
        <v/>
      </c>
    </row>
    <row r="527" spans="1:8" x14ac:dyDescent="0.25">
      <c r="A527" s="21" t="str">
        <f t="shared" si="26"/>
        <v/>
      </c>
      <c r="B527"/>
      <c r="C527"/>
      <c r="F527"/>
      <c r="G527" s="19" t="str">
        <f t="shared" si="24"/>
        <v/>
      </c>
      <c r="H527" s="19" t="str">
        <f t="shared" si="25"/>
        <v/>
      </c>
    </row>
    <row r="528" spans="1:8" x14ac:dyDescent="0.25">
      <c r="A528" s="21" t="str">
        <f t="shared" si="26"/>
        <v/>
      </c>
      <c r="B528"/>
      <c r="C528"/>
      <c r="F528"/>
      <c r="G528" s="19" t="str">
        <f t="shared" si="24"/>
        <v/>
      </c>
      <c r="H528" s="19" t="str">
        <f t="shared" si="25"/>
        <v/>
      </c>
    </row>
    <row r="529" spans="1:8" x14ac:dyDescent="0.25">
      <c r="A529" s="21" t="str">
        <f t="shared" si="26"/>
        <v/>
      </c>
      <c r="B529"/>
      <c r="C529"/>
      <c r="F529"/>
      <c r="G529" s="19" t="str">
        <f t="shared" si="24"/>
        <v/>
      </c>
      <c r="H529" s="19" t="str">
        <f t="shared" si="25"/>
        <v/>
      </c>
    </row>
    <row r="530" spans="1:8" x14ac:dyDescent="0.25">
      <c r="A530" s="21" t="str">
        <f t="shared" si="26"/>
        <v/>
      </c>
      <c r="B530"/>
      <c r="C530"/>
      <c r="F530"/>
      <c r="G530" s="19" t="str">
        <f t="shared" si="24"/>
        <v/>
      </c>
      <c r="H530" s="19" t="str">
        <f t="shared" si="25"/>
        <v/>
      </c>
    </row>
    <row r="531" spans="1:8" x14ac:dyDescent="0.25">
      <c r="A531" s="21" t="str">
        <f t="shared" si="26"/>
        <v/>
      </c>
      <c r="B531"/>
      <c r="C531"/>
      <c r="F531"/>
      <c r="G531" s="19" t="str">
        <f t="shared" si="24"/>
        <v/>
      </c>
      <c r="H531" s="19" t="str">
        <f t="shared" si="25"/>
        <v/>
      </c>
    </row>
    <row r="532" spans="1:8" x14ac:dyDescent="0.25">
      <c r="A532" s="21" t="str">
        <f t="shared" si="26"/>
        <v/>
      </c>
      <c r="B532"/>
      <c r="C532"/>
      <c r="F532"/>
      <c r="G532" s="19" t="str">
        <f t="shared" si="24"/>
        <v/>
      </c>
      <c r="H532" s="19" t="str">
        <f t="shared" si="25"/>
        <v/>
      </c>
    </row>
    <row r="533" spans="1:8" x14ac:dyDescent="0.25">
      <c r="A533" s="21" t="str">
        <f t="shared" si="26"/>
        <v/>
      </c>
      <c r="B533"/>
      <c r="C533"/>
      <c r="F533"/>
      <c r="G533" s="19" t="str">
        <f t="shared" si="24"/>
        <v/>
      </c>
      <c r="H533" s="19" t="str">
        <f t="shared" si="25"/>
        <v/>
      </c>
    </row>
    <row r="534" spans="1:8" x14ac:dyDescent="0.25">
      <c r="A534" s="21" t="str">
        <f t="shared" si="26"/>
        <v/>
      </c>
      <c r="B534"/>
      <c r="C534"/>
      <c r="F534"/>
      <c r="G534" s="19" t="str">
        <f t="shared" si="24"/>
        <v/>
      </c>
      <c r="H534" s="19" t="str">
        <f t="shared" si="25"/>
        <v/>
      </c>
    </row>
    <row r="535" spans="1:8" x14ac:dyDescent="0.25">
      <c r="A535" s="21" t="str">
        <f t="shared" si="26"/>
        <v/>
      </c>
      <c r="B535"/>
      <c r="C535"/>
      <c r="F535"/>
      <c r="G535" s="19" t="str">
        <f t="shared" si="24"/>
        <v/>
      </c>
      <c r="H535" s="19" t="str">
        <f t="shared" si="25"/>
        <v/>
      </c>
    </row>
    <row r="536" spans="1:8" x14ac:dyDescent="0.25">
      <c r="A536" s="21" t="str">
        <f t="shared" si="26"/>
        <v/>
      </c>
      <c r="B536"/>
      <c r="C536"/>
      <c r="F536"/>
      <c r="G536" s="19" t="str">
        <f t="shared" si="24"/>
        <v/>
      </c>
      <c r="H536" s="19" t="str">
        <f t="shared" si="25"/>
        <v/>
      </c>
    </row>
    <row r="537" spans="1:8" x14ac:dyDescent="0.25">
      <c r="A537" s="21" t="str">
        <f t="shared" si="26"/>
        <v/>
      </c>
      <c r="B537"/>
      <c r="C537"/>
      <c r="F537"/>
      <c r="G537" s="19" t="str">
        <f t="shared" si="24"/>
        <v/>
      </c>
      <c r="H537" s="19" t="str">
        <f t="shared" si="25"/>
        <v/>
      </c>
    </row>
    <row r="538" spans="1:8" x14ac:dyDescent="0.25">
      <c r="A538" s="21" t="str">
        <f t="shared" si="26"/>
        <v/>
      </c>
      <c r="B538"/>
      <c r="C538"/>
      <c r="F538"/>
      <c r="G538" s="19" t="str">
        <f t="shared" si="24"/>
        <v/>
      </c>
      <c r="H538" s="19" t="str">
        <f t="shared" si="25"/>
        <v/>
      </c>
    </row>
    <row r="539" spans="1:8" x14ac:dyDescent="0.25">
      <c r="A539" s="21" t="str">
        <f t="shared" si="26"/>
        <v/>
      </c>
      <c r="B539"/>
      <c r="C539"/>
      <c r="F539"/>
      <c r="G539" s="19" t="str">
        <f t="shared" si="24"/>
        <v/>
      </c>
      <c r="H539" s="19" t="str">
        <f t="shared" si="25"/>
        <v/>
      </c>
    </row>
    <row r="540" spans="1:8" x14ac:dyDescent="0.25">
      <c r="A540" s="21" t="str">
        <f t="shared" si="26"/>
        <v/>
      </c>
      <c r="B540"/>
      <c r="C540"/>
      <c r="F540"/>
      <c r="G540" s="19" t="str">
        <f t="shared" si="24"/>
        <v/>
      </c>
      <c r="H540" s="19" t="str">
        <f t="shared" si="25"/>
        <v/>
      </c>
    </row>
    <row r="541" spans="1:8" x14ac:dyDescent="0.25">
      <c r="A541" s="21" t="str">
        <f t="shared" si="26"/>
        <v/>
      </c>
      <c r="B541"/>
      <c r="C541"/>
      <c r="F541"/>
      <c r="G541" s="19" t="str">
        <f t="shared" si="24"/>
        <v/>
      </c>
      <c r="H541" s="19" t="str">
        <f t="shared" si="25"/>
        <v/>
      </c>
    </row>
    <row r="542" spans="1:8" x14ac:dyDescent="0.25">
      <c r="A542" s="21" t="str">
        <f t="shared" si="26"/>
        <v/>
      </c>
      <c r="B542"/>
      <c r="C542"/>
      <c r="F542"/>
      <c r="G542" s="19" t="str">
        <f t="shared" si="24"/>
        <v/>
      </c>
      <c r="H542" s="19" t="str">
        <f t="shared" si="25"/>
        <v/>
      </c>
    </row>
    <row r="543" spans="1:8" x14ac:dyDescent="0.25">
      <c r="A543" s="21" t="str">
        <f t="shared" si="26"/>
        <v/>
      </c>
      <c r="B543"/>
      <c r="C543"/>
      <c r="F543"/>
      <c r="G543" s="19" t="str">
        <f t="shared" si="24"/>
        <v/>
      </c>
      <c r="H543" s="19" t="str">
        <f t="shared" si="25"/>
        <v/>
      </c>
    </row>
    <row r="544" spans="1:8" x14ac:dyDescent="0.25">
      <c r="A544" s="21" t="str">
        <f t="shared" si="26"/>
        <v/>
      </c>
      <c r="B544"/>
      <c r="C544"/>
      <c r="F544"/>
      <c r="G544" s="19" t="str">
        <f t="shared" si="24"/>
        <v/>
      </c>
      <c r="H544" s="19" t="str">
        <f t="shared" si="25"/>
        <v/>
      </c>
    </row>
    <row r="545" spans="1:8" x14ac:dyDescent="0.25">
      <c r="A545" s="21" t="str">
        <f t="shared" si="26"/>
        <v/>
      </c>
      <c r="B545"/>
      <c r="C545"/>
      <c r="F545"/>
      <c r="G545" s="19" t="str">
        <f t="shared" si="24"/>
        <v/>
      </c>
      <c r="H545" s="19" t="str">
        <f t="shared" si="25"/>
        <v/>
      </c>
    </row>
    <row r="546" spans="1:8" x14ac:dyDescent="0.25">
      <c r="A546" s="21" t="str">
        <f t="shared" si="26"/>
        <v/>
      </c>
      <c r="B546"/>
      <c r="C546"/>
      <c r="F546"/>
      <c r="G546" s="19" t="str">
        <f t="shared" si="24"/>
        <v/>
      </c>
      <c r="H546" s="19" t="str">
        <f t="shared" si="25"/>
        <v/>
      </c>
    </row>
    <row r="547" spans="1:8" x14ac:dyDescent="0.25">
      <c r="A547" s="21" t="str">
        <f t="shared" si="26"/>
        <v/>
      </c>
      <c r="B547"/>
      <c r="C547"/>
      <c r="F547"/>
      <c r="G547" s="19" t="str">
        <f t="shared" si="24"/>
        <v/>
      </c>
      <c r="H547" s="19" t="str">
        <f t="shared" si="25"/>
        <v/>
      </c>
    </row>
    <row r="548" spans="1:8" x14ac:dyDescent="0.25">
      <c r="A548" s="21" t="str">
        <f t="shared" si="26"/>
        <v/>
      </c>
      <c r="B548"/>
      <c r="C548"/>
      <c r="F548"/>
      <c r="G548" s="19" t="str">
        <f t="shared" si="24"/>
        <v/>
      </c>
      <c r="H548" s="19" t="str">
        <f t="shared" si="25"/>
        <v/>
      </c>
    </row>
    <row r="549" spans="1:8" x14ac:dyDescent="0.25">
      <c r="A549" s="21" t="str">
        <f t="shared" si="26"/>
        <v/>
      </c>
      <c r="B549"/>
      <c r="C549"/>
      <c r="F549"/>
      <c r="G549" s="19" t="str">
        <f t="shared" si="24"/>
        <v/>
      </c>
      <c r="H549" s="19" t="str">
        <f t="shared" si="25"/>
        <v/>
      </c>
    </row>
    <row r="550" spans="1:8" x14ac:dyDescent="0.25">
      <c r="A550" s="21" t="str">
        <f t="shared" si="26"/>
        <v/>
      </c>
      <c r="B550"/>
      <c r="C550"/>
      <c r="F550"/>
      <c r="G550" s="19" t="str">
        <f t="shared" si="24"/>
        <v/>
      </c>
      <c r="H550" s="19" t="str">
        <f t="shared" si="25"/>
        <v/>
      </c>
    </row>
    <row r="551" spans="1:8" x14ac:dyDescent="0.25">
      <c r="A551" s="21" t="str">
        <f t="shared" si="26"/>
        <v/>
      </c>
      <c r="B551"/>
      <c r="C551"/>
      <c r="F551"/>
      <c r="G551" s="19" t="str">
        <f t="shared" si="24"/>
        <v/>
      </c>
      <c r="H551" s="19" t="str">
        <f t="shared" si="25"/>
        <v/>
      </c>
    </row>
    <row r="552" spans="1:8" x14ac:dyDescent="0.25">
      <c r="A552" s="21" t="str">
        <f t="shared" si="26"/>
        <v/>
      </c>
      <c r="B552"/>
      <c r="C552"/>
      <c r="F552"/>
      <c r="G552" s="19" t="str">
        <f t="shared" si="24"/>
        <v/>
      </c>
      <c r="H552" s="19" t="str">
        <f t="shared" si="25"/>
        <v/>
      </c>
    </row>
    <row r="553" spans="1:8" x14ac:dyDescent="0.25">
      <c r="A553" s="21" t="str">
        <f t="shared" si="26"/>
        <v/>
      </c>
      <c r="B553"/>
      <c r="C553"/>
      <c r="F553"/>
      <c r="G553" s="19" t="str">
        <f t="shared" si="24"/>
        <v/>
      </c>
      <c r="H553" s="19" t="str">
        <f t="shared" si="25"/>
        <v/>
      </c>
    </row>
    <row r="554" spans="1:8" x14ac:dyDescent="0.25">
      <c r="A554" s="21" t="str">
        <f t="shared" si="26"/>
        <v/>
      </c>
      <c r="B554"/>
      <c r="C554"/>
      <c r="F554"/>
      <c r="G554" s="19" t="str">
        <f t="shared" si="24"/>
        <v/>
      </c>
      <c r="H554" s="19" t="str">
        <f t="shared" si="25"/>
        <v/>
      </c>
    </row>
    <row r="555" spans="1:8" x14ac:dyDescent="0.25">
      <c r="A555" s="21" t="str">
        <f t="shared" si="26"/>
        <v/>
      </c>
      <c r="B555"/>
      <c r="C555"/>
      <c r="F555"/>
      <c r="G555" s="19" t="str">
        <f t="shared" si="24"/>
        <v/>
      </c>
      <c r="H555" s="19" t="str">
        <f t="shared" si="25"/>
        <v/>
      </c>
    </row>
    <row r="556" spans="1:8" x14ac:dyDescent="0.25">
      <c r="A556" s="21" t="str">
        <f t="shared" si="26"/>
        <v/>
      </c>
      <c r="B556"/>
      <c r="C556"/>
      <c r="F556"/>
      <c r="G556" s="19" t="str">
        <f t="shared" si="24"/>
        <v/>
      </c>
      <c r="H556" s="19" t="str">
        <f t="shared" si="25"/>
        <v/>
      </c>
    </row>
    <row r="557" spans="1:8" x14ac:dyDescent="0.25">
      <c r="A557" s="21" t="str">
        <f t="shared" si="26"/>
        <v/>
      </c>
      <c r="B557"/>
      <c r="C557"/>
      <c r="F557"/>
      <c r="G557" s="19" t="str">
        <f t="shared" si="24"/>
        <v/>
      </c>
      <c r="H557" s="19" t="str">
        <f t="shared" si="25"/>
        <v/>
      </c>
    </row>
    <row r="558" spans="1:8" x14ac:dyDescent="0.25">
      <c r="A558" s="21" t="str">
        <f t="shared" si="26"/>
        <v/>
      </c>
      <c r="B558"/>
      <c r="C558"/>
      <c r="F558"/>
      <c r="G558" s="19" t="str">
        <f t="shared" si="24"/>
        <v/>
      </c>
      <c r="H558" s="19" t="str">
        <f t="shared" si="25"/>
        <v/>
      </c>
    </row>
    <row r="559" spans="1:8" x14ac:dyDescent="0.25">
      <c r="A559" s="21" t="str">
        <f t="shared" si="26"/>
        <v/>
      </c>
      <c r="B559"/>
      <c r="C559"/>
      <c r="F559"/>
      <c r="G559" s="19" t="str">
        <f t="shared" si="24"/>
        <v/>
      </c>
      <c r="H559" s="19" t="str">
        <f t="shared" si="25"/>
        <v/>
      </c>
    </row>
    <row r="560" spans="1:8" x14ac:dyDescent="0.25">
      <c r="A560" s="21" t="str">
        <f t="shared" si="26"/>
        <v/>
      </c>
      <c r="B560"/>
      <c r="C560"/>
      <c r="F560"/>
      <c r="G560" s="19" t="str">
        <f t="shared" si="24"/>
        <v/>
      </c>
      <c r="H560" s="19" t="str">
        <f t="shared" si="25"/>
        <v/>
      </c>
    </row>
    <row r="561" spans="1:8" x14ac:dyDescent="0.25">
      <c r="A561" s="21" t="str">
        <f t="shared" si="26"/>
        <v/>
      </c>
      <c r="B561"/>
      <c r="C561"/>
      <c r="F561"/>
      <c r="G561" s="19" t="str">
        <f t="shared" si="24"/>
        <v/>
      </c>
      <c r="H561" s="19" t="str">
        <f t="shared" si="25"/>
        <v/>
      </c>
    </row>
    <row r="562" spans="1:8" x14ac:dyDescent="0.25">
      <c r="A562" s="21" t="str">
        <f t="shared" si="26"/>
        <v/>
      </c>
      <c r="B562"/>
      <c r="C562"/>
      <c r="F562"/>
      <c r="G562" s="19" t="str">
        <f t="shared" si="24"/>
        <v/>
      </c>
      <c r="H562" s="19" t="str">
        <f t="shared" si="25"/>
        <v/>
      </c>
    </row>
    <row r="563" spans="1:8" x14ac:dyDescent="0.25">
      <c r="A563" s="21" t="str">
        <f t="shared" si="26"/>
        <v/>
      </c>
      <c r="B563"/>
      <c r="C563"/>
      <c r="F563"/>
      <c r="G563" s="19" t="str">
        <f t="shared" si="24"/>
        <v/>
      </c>
      <c r="H563" s="19" t="str">
        <f t="shared" si="25"/>
        <v/>
      </c>
    </row>
    <row r="564" spans="1:8" x14ac:dyDescent="0.25">
      <c r="A564" s="21" t="str">
        <f t="shared" si="26"/>
        <v/>
      </c>
      <c r="B564"/>
      <c r="C564"/>
      <c r="F564"/>
      <c r="G564" s="19" t="str">
        <f t="shared" si="24"/>
        <v/>
      </c>
      <c r="H564" s="19" t="str">
        <f t="shared" si="25"/>
        <v/>
      </c>
    </row>
    <row r="565" spans="1:8" x14ac:dyDescent="0.25">
      <c r="A565" s="21" t="str">
        <f t="shared" si="26"/>
        <v/>
      </c>
      <c r="B565"/>
      <c r="C565"/>
      <c r="F565"/>
      <c r="G565" s="19" t="str">
        <f t="shared" si="24"/>
        <v/>
      </c>
      <c r="H565" s="19" t="str">
        <f t="shared" si="25"/>
        <v/>
      </c>
    </row>
    <row r="566" spans="1:8" x14ac:dyDescent="0.25">
      <c r="A566" s="21" t="str">
        <f t="shared" si="26"/>
        <v/>
      </c>
      <c r="B566"/>
      <c r="C566"/>
      <c r="F566"/>
      <c r="G566" s="19" t="str">
        <f t="shared" si="24"/>
        <v/>
      </c>
      <c r="H566" s="19" t="str">
        <f t="shared" si="25"/>
        <v/>
      </c>
    </row>
    <row r="567" spans="1:8" x14ac:dyDescent="0.25">
      <c r="A567" s="21" t="str">
        <f t="shared" si="26"/>
        <v/>
      </c>
      <c r="B567"/>
      <c r="C567"/>
      <c r="F567"/>
      <c r="G567" s="19" t="str">
        <f t="shared" si="24"/>
        <v/>
      </c>
      <c r="H567" s="19" t="str">
        <f t="shared" si="25"/>
        <v/>
      </c>
    </row>
    <row r="568" spans="1:8" x14ac:dyDescent="0.25">
      <c r="A568" s="21" t="str">
        <f t="shared" si="26"/>
        <v/>
      </c>
      <c r="B568"/>
      <c r="C568"/>
      <c r="F568"/>
      <c r="G568" s="19" t="str">
        <f t="shared" si="24"/>
        <v/>
      </c>
      <c r="H568" s="19" t="str">
        <f t="shared" si="25"/>
        <v/>
      </c>
    </row>
    <row r="569" spans="1:8" x14ac:dyDescent="0.25">
      <c r="A569" s="21" t="str">
        <f t="shared" si="26"/>
        <v/>
      </c>
      <c r="B569"/>
      <c r="C569"/>
      <c r="F569"/>
      <c r="G569" s="19" t="str">
        <f t="shared" si="24"/>
        <v/>
      </c>
      <c r="H569" s="19" t="str">
        <f t="shared" si="25"/>
        <v/>
      </c>
    </row>
    <row r="570" spans="1:8" x14ac:dyDescent="0.25">
      <c r="A570" s="21" t="str">
        <f t="shared" si="26"/>
        <v/>
      </c>
      <c r="B570"/>
      <c r="C570"/>
      <c r="F570"/>
      <c r="G570" s="19" t="str">
        <f t="shared" si="24"/>
        <v/>
      </c>
      <c r="H570" s="19" t="str">
        <f t="shared" si="25"/>
        <v/>
      </c>
    </row>
    <row r="571" spans="1:8" x14ac:dyDescent="0.25">
      <c r="A571" s="21" t="str">
        <f t="shared" si="26"/>
        <v/>
      </c>
      <c r="B571"/>
      <c r="C571"/>
      <c r="F571"/>
      <c r="G571" s="19" t="str">
        <f t="shared" si="24"/>
        <v/>
      </c>
      <c r="H571" s="19" t="str">
        <f t="shared" si="25"/>
        <v/>
      </c>
    </row>
    <row r="572" spans="1:8" x14ac:dyDescent="0.25">
      <c r="A572" s="21" t="str">
        <f t="shared" si="26"/>
        <v/>
      </c>
      <c r="B572"/>
      <c r="C572"/>
      <c r="F572"/>
      <c r="G572" s="19" t="str">
        <f t="shared" si="24"/>
        <v/>
      </c>
      <c r="H572" s="19" t="str">
        <f t="shared" si="25"/>
        <v/>
      </c>
    </row>
    <row r="573" spans="1:8" x14ac:dyDescent="0.25">
      <c r="A573" s="21" t="str">
        <f t="shared" si="26"/>
        <v/>
      </c>
      <c r="B573"/>
      <c r="C573"/>
      <c r="F573"/>
      <c r="G573" s="19" t="str">
        <f t="shared" si="24"/>
        <v/>
      </c>
      <c r="H573" s="19" t="str">
        <f t="shared" si="25"/>
        <v/>
      </c>
    </row>
    <row r="574" spans="1:8" x14ac:dyDescent="0.25">
      <c r="A574" s="21" t="str">
        <f t="shared" si="26"/>
        <v/>
      </c>
      <c r="B574"/>
      <c r="C574"/>
      <c r="F574"/>
      <c r="G574" s="19" t="str">
        <f t="shared" si="24"/>
        <v/>
      </c>
      <c r="H574" s="19" t="str">
        <f t="shared" si="25"/>
        <v/>
      </c>
    </row>
    <row r="575" spans="1:8" x14ac:dyDescent="0.25">
      <c r="A575" s="21" t="str">
        <f t="shared" si="26"/>
        <v/>
      </c>
      <c r="B575"/>
      <c r="C575"/>
      <c r="F575"/>
      <c r="G575" s="19" t="str">
        <f t="shared" si="24"/>
        <v/>
      </c>
      <c r="H575" s="19" t="str">
        <f t="shared" si="25"/>
        <v/>
      </c>
    </row>
    <row r="576" spans="1:8" x14ac:dyDescent="0.25">
      <c r="A576" s="21" t="str">
        <f t="shared" si="26"/>
        <v/>
      </c>
      <c r="B576"/>
      <c r="C576"/>
      <c r="F576"/>
      <c r="G576" s="19" t="str">
        <f t="shared" si="24"/>
        <v/>
      </c>
      <c r="H576" s="19" t="str">
        <f t="shared" si="25"/>
        <v/>
      </c>
    </row>
    <row r="577" spans="1:8" x14ac:dyDescent="0.25">
      <c r="A577" s="21" t="str">
        <f t="shared" si="26"/>
        <v/>
      </c>
      <c r="B577"/>
      <c r="C577"/>
      <c r="F577"/>
      <c r="G577" s="19" t="str">
        <f t="shared" si="24"/>
        <v/>
      </c>
      <c r="H577" s="19" t="str">
        <f t="shared" si="25"/>
        <v/>
      </c>
    </row>
    <row r="578" spans="1:8" x14ac:dyDescent="0.25">
      <c r="A578" s="21" t="str">
        <f t="shared" si="26"/>
        <v/>
      </c>
      <c r="B578"/>
      <c r="C578"/>
      <c r="F578"/>
      <c r="G578" s="19" t="str">
        <f t="shared" si="24"/>
        <v/>
      </c>
      <c r="H578" s="19" t="str">
        <f t="shared" si="25"/>
        <v/>
      </c>
    </row>
    <row r="579" spans="1:8" x14ac:dyDescent="0.25">
      <c r="A579" s="21" t="str">
        <f t="shared" si="26"/>
        <v/>
      </c>
      <c r="B579"/>
      <c r="C579"/>
      <c r="F579"/>
      <c r="G579" s="19" t="str">
        <f t="shared" si="24"/>
        <v/>
      </c>
      <c r="H579" s="19" t="str">
        <f t="shared" si="25"/>
        <v/>
      </c>
    </row>
    <row r="580" spans="1:8" x14ac:dyDescent="0.25">
      <c r="A580" s="21" t="str">
        <f t="shared" si="26"/>
        <v/>
      </c>
      <c r="B580"/>
      <c r="C580"/>
      <c r="F580"/>
      <c r="G580" s="19" t="str">
        <f t="shared" ref="G580:G643" si="27">IFERROR(VLOOKUP(F580,$A$3:$C$1002,2,FALSE),"")</f>
        <v/>
      </c>
      <c r="H580" s="19" t="str">
        <f t="shared" ref="H580:H643" si="28">IFERROR(VLOOKUP(F580,$A$3:$C$1002,3,FALSE),"")</f>
        <v/>
      </c>
    </row>
    <row r="581" spans="1:8" x14ac:dyDescent="0.25">
      <c r="A581" s="21" t="str">
        <f t="shared" ref="A581:A644" si="29">IF(LEN(B581)&gt;0,RANK(C581,C$3:C$1002,0),"")</f>
        <v/>
      </c>
      <c r="B581"/>
      <c r="C581"/>
      <c r="F581"/>
      <c r="G581" s="19" t="str">
        <f t="shared" si="27"/>
        <v/>
      </c>
      <c r="H581" s="19" t="str">
        <f t="shared" si="28"/>
        <v/>
      </c>
    </row>
    <row r="582" spans="1:8" x14ac:dyDescent="0.25">
      <c r="A582" s="21" t="str">
        <f t="shared" si="29"/>
        <v/>
      </c>
      <c r="B582"/>
      <c r="C582"/>
      <c r="F582"/>
      <c r="G582" s="19" t="str">
        <f t="shared" si="27"/>
        <v/>
      </c>
      <c r="H582" s="19" t="str">
        <f t="shared" si="28"/>
        <v/>
      </c>
    </row>
    <row r="583" spans="1:8" x14ac:dyDescent="0.25">
      <c r="A583" s="21" t="str">
        <f t="shared" si="29"/>
        <v/>
      </c>
      <c r="B583"/>
      <c r="C583"/>
      <c r="F583"/>
      <c r="G583" s="19" t="str">
        <f t="shared" si="27"/>
        <v/>
      </c>
      <c r="H583" s="19" t="str">
        <f t="shared" si="28"/>
        <v/>
      </c>
    </row>
    <row r="584" spans="1:8" x14ac:dyDescent="0.25">
      <c r="A584" s="21" t="str">
        <f t="shared" si="29"/>
        <v/>
      </c>
      <c r="B584"/>
      <c r="C584"/>
      <c r="F584"/>
      <c r="G584" s="19" t="str">
        <f t="shared" si="27"/>
        <v/>
      </c>
      <c r="H584" s="19" t="str">
        <f t="shared" si="28"/>
        <v/>
      </c>
    </row>
    <row r="585" spans="1:8" x14ac:dyDescent="0.25">
      <c r="A585" s="21" t="str">
        <f t="shared" si="29"/>
        <v/>
      </c>
      <c r="B585"/>
      <c r="C585"/>
      <c r="F585"/>
      <c r="G585" s="19" t="str">
        <f t="shared" si="27"/>
        <v/>
      </c>
      <c r="H585" s="19" t="str">
        <f t="shared" si="28"/>
        <v/>
      </c>
    </row>
    <row r="586" spans="1:8" x14ac:dyDescent="0.25">
      <c r="A586" s="21" t="str">
        <f t="shared" si="29"/>
        <v/>
      </c>
      <c r="B586"/>
      <c r="C586"/>
      <c r="F586"/>
      <c r="G586" s="19" t="str">
        <f t="shared" si="27"/>
        <v/>
      </c>
      <c r="H586" s="19" t="str">
        <f t="shared" si="28"/>
        <v/>
      </c>
    </row>
    <row r="587" spans="1:8" x14ac:dyDescent="0.25">
      <c r="A587" s="21" t="str">
        <f t="shared" si="29"/>
        <v/>
      </c>
      <c r="B587"/>
      <c r="C587"/>
      <c r="F587"/>
      <c r="G587" s="19" t="str">
        <f t="shared" si="27"/>
        <v/>
      </c>
      <c r="H587" s="19" t="str">
        <f t="shared" si="28"/>
        <v/>
      </c>
    </row>
    <row r="588" spans="1:8" x14ac:dyDescent="0.25">
      <c r="A588" s="21" t="str">
        <f t="shared" si="29"/>
        <v/>
      </c>
      <c r="B588"/>
      <c r="C588"/>
      <c r="F588"/>
      <c r="G588" s="19" t="str">
        <f t="shared" si="27"/>
        <v/>
      </c>
      <c r="H588" s="19" t="str">
        <f t="shared" si="28"/>
        <v/>
      </c>
    </row>
    <row r="589" spans="1:8" x14ac:dyDescent="0.25">
      <c r="A589" s="21" t="str">
        <f t="shared" si="29"/>
        <v/>
      </c>
      <c r="B589"/>
      <c r="C589"/>
      <c r="F589"/>
      <c r="G589" s="19" t="str">
        <f t="shared" si="27"/>
        <v/>
      </c>
      <c r="H589" s="19" t="str">
        <f t="shared" si="28"/>
        <v/>
      </c>
    </row>
    <row r="590" spans="1:8" x14ac:dyDescent="0.25">
      <c r="A590" s="21" t="str">
        <f t="shared" si="29"/>
        <v/>
      </c>
      <c r="B590"/>
      <c r="C590"/>
      <c r="F590"/>
      <c r="G590" s="19" t="str">
        <f t="shared" si="27"/>
        <v/>
      </c>
      <c r="H590" s="19" t="str">
        <f t="shared" si="28"/>
        <v/>
      </c>
    </row>
    <row r="591" spans="1:8" x14ac:dyDescent="0.25">
      <c r="A591" s="21" t="str">
        <f t="shared" si="29"/>
        <v/>
      </c>
      <c r="B591"/>
      <c r="C591"/>
      <c r="F591"/>
      <c r="G591" s="19" t="str">
        <f t="shared" si="27"/>
        <v/>
      </c>
      <c r="H591" s="19" t="str">
        <f t="shared" si="28"/>
        <v/>
      </c>
    </row>
    <row r="592" spans="1:8" x14ac:dyDescent="0.25">
      <c r="A592" s="21" t="str">
        <f t="shared" si="29"/>
        <v/>
      </c>
      <c r="B592"/>
      <c r="C592"/>
      <c r="F592"/>
      <c r="G592" s="19" t="str">
        <f t="shared" si="27"/>
        <v/>
      </c>
      <c r="H592" s="19" t="str">
        <f t="shared" si="28"/>
        <v/>
      </c>
    </row>
    <row r="593" spans="1:8" x14ac:dyDescent="0.25">
      <c r="A593" s="21" t="str">
        <f t="shared" si="29"/>
        <v/>
      </c>
      <c r="B593"/>
      <c r="C593"/>
      <c r="F593"/>
      <c r="G593" s="19" t="str">
        <f t="shared" si="27"/>
        <v/>
      </c>
      <c r="H593" s="19" t="str">
        <f t="shared" si="28"/>
        <v/>
      </c>
    </row>
    <row r="594" spans="1:8" x14ac:dyDescent="0.25">
      <c r="A594" s="21" t="str">
        <f t="shared" si="29"/>
        <v/>
      </c>
      <c r="B594"/>
      <c r="C594"/>
      <c r="F594"/>
      <c r="G594" s="19" t="str">
        <f t="shared" si="27"/>
        <v/>
      </c>
      <c r="H594" s="19" t="str">
        <f t="shared" si="28"/>
        <v/>
      </c>
    </row>
    <row r="595" spans="1:8" x14ac:dyDescent="0.25">
      <c r="A595" s="21" t="str">
        <f t="shared" si="29"/>
        <v/>
      </c>
      <c r="B595"/>
      <c r="C595"/>
      <c r="F595"/>
      <c r="G595" s="19" t="str">
        <f t="shared" si="27"/>
        <v/>
      </c>
      <c r="H595" s="19" t="str">
        <f t="shared" si="28"/>
        <v/>
      </c>
    </row>
    <row r="596" spans="1:8" x14ac:dyDescent="0.25">
      <c r="A596" s="21" t="str">
        <f t="shared" si="29"/>
        <v/>
      </c>
      <c r="B596"/>
      <c r="C596"/>
      <c r="F596"/>
      <c r="G596" s="19" t="str">
        <f t="shared" si="27"/>
        <v/>
      </c>
      <c r="H596" s="19" t="str">
        <f t="shared" si="28"/>
        <v/>
      </c>
    </row>
    <row r="597" spans="1:8" x14ac:dyDescent="0.25">
      <c r="A597" s="21" t="str">
        <f t="shared" si="29"/>
        <v/>
      </c>
      <c r="B597"/>
      <c r="C597"/>
      <c r="F597"/>
      <c r="G597" s="19" t="str">
        <f t="shared" si="27"/>
        <v/>
      </c>
      <c r="H597" s="19" t="str">
        <f t="shared" si="28"/>
        <v/>
      </c>
    </row>
    <row r="598" spans="1:8" x14ac:dyDescent="0.25">
      <c r="A598" s="21" t="str">
        <f t="shared" si="29"/>
        <v/>
      </c>
      <c r="B598"/>
      <c r="C598"/>
      <c r="F598"/>
      <c r="G598" s="19" t="str">
        <f t="shared" si="27"/>
        <v/>
      </c>
      <c r="H598" s="19" t="str">
        <f t="shared" si="28"/>
        <v/>
      </c>
    </row>
    <row r="599" spans="1:8" x14ac:dyDescent="0.25">
      <c r="A599" s="21" t="str">
        <f t="shared" si="29"/>
        <v/>
      </c>
      <c r="B599"/>
      <c r="C599"/>
      <c r="F599"/>
      <c r="G599" s="19" t="str">
        <f t="shared" si="27"/>
        <v/>
      </c>
      <c r="H599" s="19" t="str">
        <f t="shared" si="28"/>
        <v/>
      </c>
    </row>
    <row r="600" spans="1:8" x14ac:dyDescent="0.25">
      <c r="A600" s="21" t="str">
        <f t="shared" si="29"/>
        <v/>
      </c>
      <c r="B600"/>
      <c r="C600"/>
      <c r="F600"/>
      <c r="G600" s="19" t="str">
        <f t="shared" si="27"/>
        <v/>
      </c>
      <c r="H600" s="19" t="str">
        <f t="shared" si="28"/>
        <v/>
      </c>
    </row>
    <row r="601" spans="1:8" x14ac:dyDescent="0.25">
      <c r="A601" s="21" t="str">
        <f t="shared" si="29"/>
        <v/>
      </c>
      <c r="B601"/>
      <c r="C601"/>
      <c r="F601"/>
      <c r="G601" s="19" t="str">
        <f t="shared" si="27"/>
        <v/>
      </c>
      <c r="H601" s="19" t="str">
        <f t="shared" si="28"/>
        <v/>
      </c>
    </row>
    <row r="602" spans="1:8" x14ac:dyDescent="0.25">
      <c r="A602" s="21" t="str">
        <f t="shared" si="29"/>
        <v/>
      </c>
      <c r="B602"/>
      <c r="C602"/>
      <c r="F602"/>
      <c r="G602" s="19" t="str">
        <f t="shared" si="27"/>
        <v/>
      </c>
      <c r="H602" s="19" t="str">
        <f t="shared" si="28"/>
        <v/>
      </c>
    </row>
    <row r="603" spans="1:8" x14ac:dyDescent="0.25">
      <c r="A603" s="21" t="str">
        <f t="shared" si="29"/>
        <v/>
      </c>
      <c r="B603"/>
      <c r="C603"/>
      <c r="F603"/>
      <c r="G603" s="19" t="str">
        <f t="shared" si="27"/>
        <v/>
      </c>
      <c r="H603" s="19" t="str">
        <f t="shared" si="28"/>
        <v/>
      </c>
    </row>
    <row r="604" spans="1:8" x14ac:dyDescent="0.25">
      <c r="A604" s="21" t="str">
        <f t="shared" si="29"/>
        <v/>
      </c>
      <c r="B604"/>
      <c r="C604"/>
      <c r="F604"/>
      <c r="G604" s="19" t="str">
        <f t="shared" si="27"/>
        <v/>
      </c>
      <c r="H604" s="19" t="str">
        <f t="shared" si="28"/>
        <v/>
      </c>
    </row>
    <row r="605" spans="1:8" x14ac:dyDescent="0.25">
      <c r="A605" s="21" t="str">
        <f t="shared" si="29"/>
        <v/>
      </c>
      <c r="B605"/>
      <c r="C605"/>
      <c r="F605"/>
      <c r="G605" s="19" t="str">
        <f t="shared" si="27"/>
        <v/>
      </c>
      <c r="H605" s="19" t="str">
        <f t="shared" si="28"/>
        <v/>
      </c>
    </row>
    <row r="606" spans="1:8" x14ac:dyDescent="0.25">
      <c r="A606" s="21" t="str">
        <f t="shared" si="29"/>
        <v/>
      </c>
      <c r="B606"/>
      <c r="C606"/>
      <c r="F606"/>
      <c r="G606" s="19" t="str">
        <f t="shared" si="27"/>
        <v/>
      </c>
      <c r="H606" s="19" t="str">
        <f t="shared" si="28"/>
        <v/>
      </c>
    </row>
    <row r="607" spans="1:8" x14ac:dyDescent="0.25">
      <c r="A607" s="21" t="str">
        <f t="shared" si="29"/>
        <v/>
      </c>
      <c r="B607"/>
      <c r="C607"/>
      <c r="F607"/>
      <c r="G607" s="19" t="str">
        <f t="shared" si="27"/>
        <v/>
      </c>
      <c r="H607" s="19" t="str">
        <f t="shared" si="28"/>
        <v/>
      </c>
    </row>
    <row r="608" spans="1:8" x14ac:dyDescent="0.25">
      <c r="A608" s="21" t="str">
        <f t="shared" si="29"/>
        <v/>
      </c>
      <c r="B608"/>
      <c r="C608"/>
      <c r="F608"/>
      <c r="G608" s="19" t="str">
        <f t="shared" si="27"/>
        <v/>
      </c>
      <c r="H608" s="19" t="str">
        <f t="shared" si="28"/>
        <v/>
      </c>
    </row>
    <row r="609" spans="1:8" x14ac:dyDescent="0.25">
      <c r="A609" s="21" t="str">
        <f t="shared" si="29"/>
        <v/>
      </c>
      <c r="B609"/>
      <c r="C609"/>
      <c r="F609"/>
      <c r="G609" s="19" t="str">
        <f t="shared" si="27"/>
        <v/>
      </c>
      <c r="H609" s="19" t="str">
        <f t="shared" si="28"/>
        <v/>
      </c>
    </row>
    <row r="610" spans="1:8" x14ac:dyDescent="0.25">
      <c r="A610" s="21" t="str">
        <f t="shared" si="29"/>
        <v/>
      </c>
      <c r="B610"/>
      <c r="C610"/>
      <c r="F610"/>
      <c r="G610" s="19" t="str">
        <f t="shared" si="27"/>
        <v/>
      </c>
      <c r="H610" s="19" t="str">
        <f t="shared" si="28"/>
        <v/>
      </c>
    </row>
    <row r="611" spans="1:8" x14ac:dyDescent="0.25">
      <c r="A611" s="21" t="str">
        <f t="shared" si="29"/>
        <v/>
      </c>
      <c r="B611"/>
      <c r="C611"/>
      <c r="F611"/>
      <c r="G611" s="19" t="str">
        <f t="shared" si="27"/>
        <v/>
      </c>
      <c r="H611" s="19" t="str">
        <f t="shared" si="28"/>
        <v/>
      </c>
    </row>
    <row r="612" spans="1:8" x14ac:dyDescent="0.25">
      <c r="A612" s="21" t="str">
        <f t="shared" si="29"/>
        <v/>
      </c>
      <c r="B612"/>
      <c r="C612"/>
      <c r="F612"/>
      <c r="G612" s="19" t="str">
        <f t="shared" si="27"/>
        <v/>
      </c>
      <c r="H612" s="19" t="str">
        <f t="shared" si="28"/>
        <v/>
      </c>
    </row>
    <row r="613" spans="1:8" x14ac:dyDescent="0.25">
      <c r="A613" s="21" t="str">
        <f t="shared" si="29"/>
        <v/>
      </c>
      <c r="B613"/>
      <c r="C613"/>
      <c r="F613"/>
      <c r="G613" s="19" t="str">
        <f t="shared" si="27"/>
        <v/>
      </c>
      <c r="H613" s="19" t="str">
        <f t="shared" si="28"/>
        <v/>
      </c>
    </row>
    <row r="614" spans="1:8" x14ac:dyDescent="0.25">
      <c r="A614" s="21" t="str">
        <f t="shared" si="29"/>
        <v/>
      </c>
      <c r="B614"/>
      <c r="C614"/>
      <c r="F614"/>
      <c r="G614" s="19" t="str">
        <f t="shared" si="27"/>
        <v/>
      </c>
      <c r="H614" s="19" t="str">
        <f t="shared" si="28"/>
        <v/>
      </c>
    </row>
    <row r="615" spans="1:8" x14ac:dyDescent="0.25">
      <c r="A615" s="21" t="str">
        <f t="shared" si="29"/>
        <v/>
      </c>
      <c r="B615"/>
      <c r="C615"/>
      <c r="F615"/>
      <c r="G615" s="19" t="str">
        <f t="shared" si="27"/>
        <v/>
      </c>
      <c r="H615" s="19" t="str">
        <f t="shared" si="28"/>
        <v/>
      </c>
    </row>
    <row r="616" spans="1:8" x14ac:dyDescent="0.25">
      <c r="A616" s="21" t="str">
        <f t="shared" si="29"/>
        <v/>
      </c>
      <c r="B616"/>
      <c r="C616"/>
      <c r="F616"/>
      <c r="G616" s="19" t="str">
        <f t="shared" si="27"/>
        <v/>
      </c>
      <c r="H616" s="19" t="str">
        <f t="shared" si="28"/>
        <v/>
      </c>
    </row>
    <row r="617" spans="1:8" x14ac:dyDescent="0.25">
      <c r="A617" s="21" t="str">
        <f t="shared" si="29"/>
        <v/>
      </c>
      <c r="B617"/>
      <c r="C617"/>
      <c r="F617"/>
      <c r="G617" s="19" t="str">
        <f t="shared" si="27"/>
        <v/>
      </c>
      <c r="H617" s="19" t="str">
        <f t="shared" si="28"/>
        <v/>
      </c>
    </row>
    <row r="618" spans="1:8" x14ac:dyDescent="0.25">
      <c r="A618" s="21" t="str">
        <f t="shared" si="29"/>
        <v/>
      </c>
      <c r="B618"/>
      <c r="C618"/>
      <c r="F618"/>
      <c r="G618" s="19" t="str">
        <f t="shared" si="27"/>
        <v/>
      </c>
      <c r="H618" s="19" t="str">
        <f t="shared" si="28"/>
        <v/>
      </c>
    </row>
    <row r="619" spans="1:8" x14ac:dyDescent="0.25">
      <c r="A619" s="21" t="str">
        <f t="shared" si="29"/>
        <v/>
      </c>
      <c r="B619"/>
      <c r="C619"/>
      <c r="F619"/>
      <c r="G619" s="19" t="str">
        <f t="shared" si="27"/>
        <v/>
      </c>
      <c r="H619" s="19" t="str">
        <f t="shared" si="28"/>
        <v/>
      </c>
    </row>
    <row r="620" spans="1:8" x14ac:dyDescent="0.25">
      <c r="A620" s="21" t="str">
        <f t="shared" si="29"/>
        <v/>
      </c>
      <c r="B620"/>
      <c r="C620"/>
      <c r="F620"/>
      <c r="G620" s="19" t="str">
        <f t="shared" si="27"/>
        <v/>
      </c>
      <c r="H620" s="19" t="str">
        <f t="shared" si="28"/>
        <v/>
      </c>
    </row>
    <row r="621" spans="1:8" x14ac:dyDescent="0.25">
      <c r="A621" s="21" t="str">
        <f t="shared" si="29"/>
        <v/>
      </c>
      <c r="B621"/>
      <c r="C621"/>
      <c r="F621"/>
      <c r="G621" s="19" t="str">
        <f t="shared" si="27"/>
        <v/>
      </c>
      <c r="H621" s="19" t="str">
        <f t="shared" si="28"/>
        <v/>
      </c>
    </row>
    <row r="622" spans="1:8" x14ac:dyDescent="0.25">
      <c r="A622" s="21" t="str">
        <f t="shared" si="29"/>
        <v/>
      </c>
      <c r="B622"/>
      <c r="C622"/>
      <c r="F622"/>
      <c r="G622" s="19" t="str">
        <f t="shared" si="27"/>
        <v/>
      </c>
      <c r="H622" s="19" t="str">
        <f t="shared" si="28"/>
        <v/>
      </c>
    </row>
    <row r="623" spans="1:8" x14ac:dyDescent="0.25">
      <c r="A623" s="21" t="str">
        <f t="shared" si="29"/>
        <v/>
      </c>
      <c r="B623"/>
      <c r="C623"/>
      <c r="F623"/>
      <c r="G623" s="19" t="str">
        <f t="shared" si="27"/>
        <v/>
      </c>
      <c r="H623" s="19" t="str">
        <f t="shared" si="28"/>
        <v/>
      </c>
    </row>
    <row r="624" spans="1:8" x14ac:dyDescent="0.25">
      <c r="A624" s="21" t="str">
        <f t="shared" si="29"/>
        <v/>
      </c>
      <c r="B624"/>
      <c r="C624"/>
      <c r="F624"/>
      <c r="G624" s="19" t="str">
        <f t="shared" si="27"/>
        <v/>
      </c>
      <c r="H624" s="19" t="str">
        <f t="shared" si="28"/>
        <v/>
      </c>
    </row>
    <row r="625" spans="1:8" x14ac:dyDescent="0.25">
      <c r="A625" s="21" t="str">
        <f t="shared" si="29"/>
        <v/>
      </c>
      <c r="B625"/>
      <c r="C625"/>
      <c r="F625"/>
      <c r="G625" s="19" t="str">
        <f t="shared" si="27"/>
        <v/>
      </c>
      <c r="H625" s="19" t="str">
        <f t="shared" si="28"/>
        <v/>
      </c>
    </row>
    <row r="626" spans="1:8" x14ac:dyDescent="0.25">
      <c r="A626" s="21" t="str">
        <f t="shared" si="29"/>
        <v/>
      </c>
      <c r="B626"/>
      <c r="C626"/>
      <c r="F626"/>
      <c r="G626" s="19" t="str">
        <f t="shared" si="27"/>
        <v/>
      </c>
      <c r="H626" s="19" t="str">
        <f t="shared" si="28"/>
        <v/>
      </c>
    </row>
    <row r="627" spans="1:8" x14ac:dyDescent="0.25">
      <c r="A627" s="21" t="str">
        <f t="shared" si="29"/>
        <v/>
      </c>
      <c r="B627"/>
      <c r="C627"/>
      <c r="F627"/>
      <c r="G627" s="19" t="str">
        <f t="shared" si="27"/>
        <v/>
      </c>
      <c r="H627" s="19" t="str">
        <f t="shared" si="28"/>
        <v/>
      </c>
    </row>
    <row r="628" spans="1:8" x14ac:dyDescent="0.25">
      <c r="A628" s="21" t="str">
        <f t="shared" si="29"/>
        <v/>
      </c>
      <c r="B628"/>
      <c r="C628"/>
      <c r="F628"/>
      <c r="G628" s="19" t="str">
        <f t="shared" si="27"/>
        <v/>
      </c>
      <c r="H628" s="19" t="str">
        <f t="shared" si="28"/>
        <v/>
      </c>
    </row>
    <row r="629" spans="1:8" x14ac:dyDescent="0.25">
      <c r="A629" s="21" t="str">
        <f t="shared" si="29"/>
        <v/>
      </c>
      <c r="B629"/>
      <c r="C629"/>
      <c r="F629"/>
      <c r="G629" s="19" t="str">
        <f t="shared" si="27"/>
        <v/>
      </c>
      <c r="H629" s="19" t="str">
        <f t="shared" si="28"/>
        <v/>
      </c>
    </row>
    <row r="630" spans="1:8" x14ac:dyDescent="0.25">
      <c r="A630" s="21" t="str">
        <f t="shared" si="29"/>
        <v/>
      </c>
      <c r="B630"/>
      <c r="C630"/>
      <c r="F630"/>
      <c r="G630" s="19" t="str">
        <f t="shared" si="27"/>
        <v/>
      </c>
      <c r="H630" s="19" t="str">
        <f t="shared" si="28"/>
        <v/>
      </c>
    </row>
    <row r="631" spans="1:8" x14ac:dyDescent="0.25">
      <c r="A631" s="21" t="str">
        <f t="shared" si="29"/>
        <v/>
      </c>
      <c r="B631"/>
      <c r="C631"/>
      <c r="F631"/>
      <c r="G631" s="19" t="str">
        <f t="shared" si="27"/>
        <v/>
      </c>
      <c r="H631" s="19" t="str">
        <f t="shared" si="28"/>
        <v/>
      </c>
    </row>
    <row r="632" spans="1:8" x14ac:dyDescent="0.25">
      <c r="A632" s="21" t="str">
        <f t="shared" si="29"/>
        <v/>
      </c>
      <c r="B632"/>
      <c r="C632"/>
      <c r="F632"/>
      <c r="G632" s="19" t="str">
        <f t="shared" si="27"/>
        <v/>
      </c>
      <c r="H632" s="19" t="str">
        <f t="shared" si="28"/>
        <v/>
      </c>
    </row>
    <row r="633" spans="1:8" x14ac:dyDescent="0.25">
      <c r="A633" s="21" t="str">
        <f t="shared" si="29"/>
        <v/>
      </c>
      <c r="B633"/>
      <c r="C633"/>
      <c r="F633"/>
      <c r="G633" s="19" t="str">
        <f t="shared" si="27"/>
        <v/>
      </c>
      <c r="H633" s="19" t="str">
        <f t="shared" si="28"/>
        <v/>
      </c>
    </row>
    <row r="634" spans="1:8" x14ac:dyDescent="0.25">
      <c r="A634" s="21" t="str">
        <f t="shared" si="29"/>
        <v/>
      </c>
      <c r="B634"/>
      <c r="C634"/>
      <c r="F634"/>
      <c r="G634" s="19" t="str">
        <f t="shared" si="27"/>
        <v/>
      </c>
      <c r="H634" s="19" t="str">
        <f t="shared" si="28"/>
        <v/>
      </c>
    </row>
    <row r="635" spans="1:8" x14ac:dyDescent="0.25">
      <c r="A635" s="21" t="str">
        <f t="shared" si="29"/>
        <v/>
      </c>
      <c r="B635"/>
      <c r="C635"/>
      <c r="F635"/>
      <c r="G635" s="19" t="str">
        <f t="shared" si="27"/>
        <v/>
      </c>
      <c r="H635" s="19" t="str">
        <f t="shared" si="28"/>
        <v/>
      </c>
    </row>
    <row r="636" spans="1:8" x14ac:dyDescent="0.25">
      <c r="A636" s="21" t="str">
        <f t="shared" si="29"/>
        <v/>
      </c>
      <c r="B636"/>
      <c r="C636"/>
      <c r="F636"/>
      <c r="G636" s="19" t="str">
        <f t="shared" si="27"/>
        <v/>
      </c>
      <c r="H636" s="19" t="str">
        <f t="shared" si="28"/>
        <v/>
      </c>
    </row>
    <row r="637" spans="1:8" x14ac:dyDescent="0.25">
      <c r="A637" s="21" t="str">
        <f t="shared" si="29"/>
        <v/>
      </c>
      <c r="B637"/>
      <c r="C637"/>
      <c r="F637"/>
      <c r="G637" s="19" t="str">
        <f t="shared" si="27"/>
        <v/>
      </c>
      <c r="H637" s="19" t="str">
        <f t="shared" si="28"/>
        <v/>
      </c>
    </row>
    <row r="638" spans="1:8" x14ac:dyDescent="0.25">
      <c r="A638" s="21" t="str">
        <f t="shared" si="29"/>
        <v/>
      </c>
      <c r="B638"/>
      <c r="C638"/>
      <c r="F638"/>
      <c r="G638" s="19" t="str">
        <f t="shared" si="27"/>
        <v/>
      </c>
      <c r="H638" s="19" t="str">
        <f t="shared" si="28"/>
        <v/>
      </c>
    </row>
    <row r="639" spans="1:8" x14ac:dyDescent="0.25">
      <c r="A639" s="21" t="str">
        <f t="shared" si="29"/>
        <v/>
      </c>
      <c r="B639"/>
      <c r="C639"/>
      <c r="F639"/>
      <c r="G639" s="19" t="str">
        <f t="shared" si="27"/>
        <v/>
      </c>
      <c r="H639" s="19" t="str">
        <f t="shared" si="28"/>
        <v/>
      </c>
    </row>
    <row r="640" spans="1:8" x14ac:dyDescent="0.25">
      <c r="A640" s="21" t="str">
        <f t="shared" si="29"/>
        <v/>
      </c>
      <c r="B640"/>
      <c r="C640"/>
      <c r="F640"/>
      <c r="G640" s="19" t="str">
        <f t="shared" si="27"/>
        <v/>
      </c>
      <c r="H640" s="19" t="str">
        <f t="shared" si="28"/>
        <v/>
      </c>
    </row>
    <row r="641" spans="1:8" x14ac:dyDescent="0.25">
      <c r="A641" s="21" t="str">
        <f t="shared" si="29"/>
        <v/>
      </c>
      <c r="B641"/>
      <c r="C641"/>
      <c r="F641"/>
      <c r="G641" s="19" t="str">
        <f t="shared" si="27"/>
        <v/>
      </c>
      <c r="H641" s="19" t="str">
        <f t="shared" si="28"/>
        <v/>
      </c>
    </row>
    <row r="642" spans="1:8" x14ac:dyDescent="0.25">
      <c r="A642" s="21" t="str">
        <f t="shared" si="29"/>
        <v/>
      </c>
      <c r="B642"/>
      <c r="C642"/>
      <c r="F642"/>
      <c r="G642" s="19" t="str">
        <f t="shared" si="27"/>
        <v/>
      </c>
      <c r="H642" s="19" t="str">
        <f t="shared" si="28"/>
        <v/>
      </c>
    </row>
    <row r="643" spans="1:8" x14ac:dyDescent="0.25">
      <c r="A643" s="21" t="str">
        <f t="shared" si="29"/>
        <v/>
      </c>
      <c r="B643"/>
      <c r="C643"/>
      <c r="F643"/>
      <c r="G643" s="19" t="str">
        <f t="shared" si="27"/>
        <v/>
      </c>
      <c r="H643" s="19" t="str">
        <f t="shared" si="28"/>
        <v/>
      </c>
    </row>
    <row r="644" spans="1:8" x14ac:dyDescent="0.25">
      <c r="A644" s="21" t="str">
        <f t="shared" si="29"/>
        <v/>
      </c>
      <c r="B644"/>
      <c r="C644"/>
      <c r="F644"/>
      <c r="G644" s="19" t="str">
        <f t="shared" ref="G644:G707" si="30">IFERROR(VLOOKUP(F644,$A$3:$C$1002,2,FALSE),"")</f>
        <v/>
      </c>
      <c r="H644" s="19" t="str">
        <f t="shared" ref="H644:H707" si="31">IFERROR(VLOOKUP(F644,$A$3:$C$1002,3,FALSE),"")</f>
        <v/>
      </c>
    </row>
    <row r="645" spans="1:8" x14ac:dyDescent="0.25">
      <c r="A645" s="21" t="str">
        <f t="shared" ref="A645:A708" si="32">IF(LEN(B645)&gt;0,RANK(C645,C$3:C$1002,0),"")</f>
        <v/>
      </c>
      <c r="B645"/>
      <c r="C645"/>
      <c r="F645"/>
      <c r="G645" s="19" t="str">
        <f t="shared" si="30"/>
        <v/>
      </c>
      <c r="H645" s="19" t="str">
        <f t="shared" si="31"/>
        <v/>
      </c>
    </row>
    <row r="646" spans="1:8" x14ac:dyDescent="0.25">
      <c r="A646" s="21" t="str">
        <f t="shared" si="32"/>
        <v/>
      </c>
      <c r="B646"/>
      <c r="C646"/>
      <c r="F646"/>
      <c r="G646" s="19" t="str">
        <f t="shared" si="30"/>
        <v/>
      </c>
      <c r="H646" s="19" t="str">
        <f t="shared" si="31"/>
        <v/>
      </c>
    </row>
    <row r="647" spans="1:8" x14ac:dyDescent="0.25">
      <c r="A647" s="21" t="str">
        <f t="shared" si="32"/>
        <v/>
      </c>
      <c r="B647"/>
      <c r="C647"/>
      <c r="F647"/>
      <c r="G647" s="19" t="str">
        <f t="shared" si="30"/>
        <v/>
      </c>
      <c r="H647" s="19" t="str">
        <f t="shared" si="31"/>
        <v/>
      </c>
    </row>
    <row r="648" spans="1:8" x14ac:dyDescent="0.25">
      <c r="A648" s="21" t="str">
        <f t="shared" si="32"/>
        <v/>
      </c>
      <c r="B648"/>
      <c r="C648"/>
      <c r="F648"/>
      <c r="G648" s="19" t="str">
        <f t="shared" si="30"/>
        <v/>
      </c>
      <c r="H648" s="19" t="str">
        <f t="shared" si="31"/>
        <v/>
      </c>
    </row>
    <row r="649" spans="1:8" x14ac:dyDescent="0.25">
      <c r="A649" s="21" t="str">
        <f t="shared" si="32"/>
        <v/>
      </c>
      <c r="B649"/>
      <c r="C649"/>
      <c r="F649"/>
      <c r="G649" s="19" t="str">
        <f t="shared" si="30"/>
        <v/>
      </c>
      <c r="H649" s="19" t="str">
        <f t="shared" si="31"/>
        <v/>
      </c>
    </row>
    <row r="650" spans="1:8" x14ac:dyDescent="0.25">
      <c r="A650" s="21" t="str">
        <f t="shared" si="32"/>
        <v/>
      </c>
      <c r="B650"/>
      <c r="C650"/>
      <c r="F650"/>
      <c r="G650" s="19" t="str">
        <f t="shared" si="30"/>
        <v/>
      </c>
      <c r="H650" s="19" t="str">
        <f t="shared" si="31"/>
        <v/>
      </c>
    </row>
    <row r="651" spans="1:8" x14ac:dyDescent="0.25">
      <c r="A651" s="21" t="str">
        <f t="shared" si="32"/>
        <v/>
      </c>
      <c r="B651"/>
      <c r="C651"/>
      <c r="F651"/>
      <c r="G651" s="19" t="str">
        <f t="shared" si="30"/>
        <v/>
      </c>
      <c r="H651" s="19" t="str">
        <f t="shared" si="31"/>
        <v/>
      </c>
    </row>
    <row r="652" spans="1:8" x14ac:dyDescent="0.25">
      <c r="A652" s="21" t="str">
        <f t="shared" si="32"/>
        <v/>
      </c>
      <c r="B652"/>
      <c r="C652"/>
      <c r="F652"/>
      <c r="G652" s="19" t="str">
        <f t="shared" si="30"/>
        <v/>
      </c>
      <c r="H652" s="19" t="str">
        <f t="shared" si="31"/>
        <v/>
      </c>
    </row>
    <row r="653" spans="1:8" x14ac:dyDescent="0.25">
      <c r="A653" s="21" t="str">
        <f t="shared" si="32"/>
        <v/>
      </c>
      <c r="B653"/>
      <c r="C653"/>
      <c r="F653"/>
      <c r="G653" s="19" t="str">
        <f t="shared" si="30"/>
        <v/>
      </c>
      <c r="H653" s="19" t="str">
        <f t="shared" si="31"/>
        <v/>
      </c>
    </row>
    <row r="654" spans="1:8" x14ac:dyDescent="0.25">
      <c r="A654" s="21" t="str">
        <f t="shared" si="32"/>
        <v/>
      </c>
      <c r="B654"/>
      <c r="C654"/>
      <c r="F654"/>
      <c r="G654" s="19" t="str">
        <f t="shared" si="30"/>
        <v/>
      </c>
      <c r="H654" s="19" t="str">
        <f t="shared" si="31"/>
        <v/>
      </c>
    </row>
    <row r="655" spans="1:8" x14ac:dyDescent="0.25">
      <c r="A655" s="21" t="str">
        <f t="shared" si="32"/>
        <v/>
      </c>
      <c r="B655"/>
      <c r="C655"/>
      <c r="F655"/>
      <c r="G655" s="19" t="str">
        <f t="shared" si="30"/>
        <v/>
      </c>
      <c r="H655" s="19" t="str">
        <f t="shared" si="31"/>
        <v/>
      </c>
    </row>
    <row r="656" spans="1:8" x14ac:dyDescent="0.25">
      <c r="A656" s="21" t="str">
        <f t="shared" si="32"/>
        <v/>
      </c>
      <c r="B656"/>
      <c r="C656"/>
      <c r="F656"/>
      <c r="G656" s="19" t="str">
        <f t="shared" si="30"/>
        <v/>
      </c>
      <c r="H656" s="19" t="str">
        <f t="shared" si="31"/>
        <v/>
      </c>
    </row>
    <row r="657" spans="1:8" x14ac:dyDescent="0.25">
      <c r="A657" s="21" t="str">
        <f t="shared" si="32"/>
        <v/>
      </c>
      <c r="B657"/>
      <c r="C657"/>
      <c r="F657"/>
      <c r="G657" s="19" t="str">
        <f t="shared" si="30"/>
        <v/>
      </c>
      <c r="H657" s="19" t="str">
        <f t="shared" si="31"/>
        <v/>
      </c>
    </row>
    <row r="658" spans="1:8" x14ac:dyDescent="0.25">
      <c r="A658" s="21" t="str">
        <f t="shared" si="32"/>
        <v/>
      </c>
      <c r="B658"/>
      <c r="C658"/>
      <c r="F658"/>
      <c r="G658" s="19" t="str">
        <f t="shared" si="30"/>
        <v/>
      </c>
      <c r="H658" s="19" t="str">
        <f t="shared" si="31"/>
        <v/>
      </c>
    </row>
    <row r="659" spans="1:8" x14ac:dyDescent="0.25">
      <c r="A659" s="21" t="str">
        <f t="shared" si="32"/>
        <v/>
      </c>
      <c r="B659"/>
      <c r="C659"/>
      <c r="F659"/>
      <c r="G659" s="19" t="str">
        <f t="shared" si="30"/>
        <v/>
      </c>
      <c r="H659" s="19" t="str">
        <f t="shared" si="31"/>
        <v/>
      </c>
    </row>
    <row r="660" spans="1:8" x14ac:dyDescent="0.25">
      <c r="A660" s="21" t="str">
        <f t="shared" si="32"/>
        <v/>
      </c>
      <c r="B660"/>
      <c r="C660"/>
      <c r="F660"/>
      <c r="G660" s="19" t="str">
        <f t="shared" si="30"/>
        <v/>
      </c>
      <c r="H660" s="19" t="str">
        <f t="shared" si="31"/>
        <v/>
      </c>
    </row>
    <row r="661" spans="1:8" x14ac:dyDescent="0.25">
      <c r="A661" s="21" t="str">
        <f t="shared" si="32"/>
        <v/>
      </c>
      <c r="B661"/>
      <c r="C661"/>
      <c r="F661"/>
      <c r="G661" s="19" t="str">
        <f t="shared" si="30"/>
        <v/>
      </c>
      <c r="H661" s="19" t="str">
        <f t="shared" si="31"/>
        <v/>
      </c>
    </row>
    <row r="662" spans="1:8" x14ac:dyDescent="0.25">
      <c r="A662" s="21" t="str">
        <f t="shared" si="32"/>
        <v/>
      </c>
      <c r="B662"/>
      <c r="C662"/>
      <c r="F662"/>
      <c r="G662" s="19" t="str">
        <f t="shared" si="30"/>
        <v/>
      </c>
      <c r="H662" s="19" t="str">
        <f t="shared" si="31"/>
        <v/>
      </c>
    </row>
    <row r="663" spans="1:8" x14ac:dyDescent="0.25">
      <c r="A663" s="21" t="str">
        <f t="shared" si="32"/>
        <v/>
      </c>
      <c r="B663"/>
      <c r="C663"/>
      <c r="F663"/>
      <c r="G663" s="19" t="str">
        <f t="shared" si="30"/>
        <v/>
      </c>
      <c r="H663" s="19" t="str">
        <f t="shared" si="31"/>
        <v/>
      </c>
    </row>
    <row r="664" spans="1:8" x14ac:dyDescent="0.25">
      <c r="A664" s="21" t="str">
        <f t="shared" si="32"/>
        <v/>
      </c>
      <c r="B664"/>
      <c r="C664"/>
      <c r="F664"/>
      <c r="G664" s="19" t="str">
        <f t="shared" si="30"/>
        <v/>
      </c>
      <c r="H664" s="19" t="str">
        <f t="shared" si="31"/>
        <v/>
      </c>
    </row>
    <row r="665" spans="1:8" x14ac:dyDescent="0.25">
      <c r="A665" s="21" t="str">
        <f t="shared" si="32"/>
        <v/>
      </c>
      <c r="B665"/>
      <c r="C665"/>
      <c r="F665"/>
      <c r="G665" s="19" t="str">
        <f t="shared" si="30"/>
        <v/>
      </c>
      <c r="H665" s="19" t="str">
        <f t="shared" si="31"/>
        <v/>
      </c>
    </row>
    <row r="666" spans="1:8" x14ac:dyDescent="0.25">
      <c r="A666" s="21" t="str">
        <f t="shared" si="32"/>
        <v/>
      </c>
      <c r="B666"/>
      <c r="C666"/>
      <c r="F666"/>
      <c r="G666" s="19" t="str">
        <f t="shared" si="30"/>
        <v/>
      </c>
      <c r="H666" s="19" t="str">
        <f t="shared" si="31"/>
        <v/>
      </c>
    </row>
    <row r="667" spans="1:8" x14ac:dyDescent="0.25">
      <c r="A667" s="21" t="str">
        <f t="shared" si="32"/>
        <v/>
      </c>
      <c r="B667"/>
      <c r="C667"/>
      <c r="F667"/>
      <c r="G667" s="19" t="str">
        <f t="shared" si="30"/>
        <v/>
      </c>
      <c r="H667" s="19" t="str">
        <f t="shared" si="31"/>
        <v/>
      </c>
    </row>
    <row r="668" spans="1:8" x14ac:dyDescent="0.25">
      <c r="A668" s="21" t="str">
        <f t="shared" si="32"/>
        <v/>
      </c>
      <c r="B668"/>
      <c r="C668"/>
      <c r="F668"/>
      <c r="G668" s="19" t="str">
        <f t="shared" si="30"/>
        <v/>
      </c>
      <c r="H668" s="19" t="str">
        <f t="shared" si="31"/>
        <v/>
      </c>
    </row>
    <row r="669" spans="1:8" x14ac:dyDescent="0.25">
      <c r="A669" s="21" t="str">
        <f t="shared" si="32"/>
        <v/>
      </c>
      <c r="B669"/>
      <c r="C669"/>
      <c r="F669"/>
      <c r="G669" s="19" t="str">
        <f t="shared" si="30"/>
        <v/>
      </c>
      <c r="H669" s="19" t="str">
        <f t="shared" si="31"/>
        <v/>
      </c>
    </row>
    <row r="670" spans="1:8" x14ac:dyDescent="0.25">
      <c r="A670" s="21" t="str">
        <f t="shared" si="32"/>
        <v/>
      </c>
      <c r="B670"/>
      <c r="C670"/>
      <c r="F670"/>
      <c r="G670" s="19" t="str">
        <f t="shared" si="30"/>
        <v/>
      </c>
      <c r="H670" s="19" t="str">
        <f t="shared" si="31"/>
        <v/>
      </c>
    </row>
    <row r="671" spans="1:8" x14ac:dyDescent="0.25">
      <c r="A671" s="21" t="str">
        <f t="shared" si="32"/>
        <v/>
      </c>
      <c r="B671"/>
      <c r="C671"/>
      <c r="F671"/>
      <c r="G671" s="19" t="str">
        <f t="shared" si="30"/>
        <v/>
      </c>
      <c r="H671" s="19" t="str">
        <f t="shared" si="31"/>
        <v/>
      </c>
    </row>
    <row r="672" spans="1:8" x14ac:dyDescent="0.25">
      <c r="A672" s="21" t="str">
        <f t="shared" si="32"/>
        <v/>
      </c>
      <c r="B672"/>
      <c r="C672"/>
      <c r="F672"/>
      <c r="G672" s="19" t="str">
        <f t="shared" si="30"/>
        <v/>
      </c>
      <c r="H672" s="19" t="str">
        <f t="shared" si="31"/>
        <v/>
      </c>
    </row>
    <row r="673" spans="1:8" x14ac:dyDescent="0.25">
      <c r="A673" s="21" t="str">
        <f t="shared" si="32"/>
        <v/>
      </c>
      <c r="B673"/>
      <c r="C673"/>
      <c r="F673"/>
      <c r="G673" s="19" t="str">
        <f t="shared" si="30"/>
        <v/>
      </c>
      <c r="H673" s="19" t="str">
        <f t="shared" si="31"/>
        <v/>
      </c>
    </row>
    <row r="674" spans="1:8" x14ac:dyDescent="0.25">
      <c r="A674" s="21" t="str">
        <f t="shared" si="32"/>
        <v/>
      </c>
      <c r="B674"/>
      <c r="C674"/>
      <c r="F674"/>
      <c r="G674" s="19" t="str">
        <f t="shared" si="30"/>
        <v/>
      </c>
      <c r="H674" s="19" t="str">
        <f t="shared" si="31"/>
        <v/>
      </c>
    </row>
    <row r="675" spans="1:8" x14ac:dyDescent="0.25">
      <c r="A675" s="21" t="str">
        <f t="shared" si="32"/>
        <v/>
      </c>
      <c r="B675"/>
      <c r="C675"/>
      <c r="F675"/>
      <c r="G675" s="19" t="str">
        <f t="shared" si="30"/>
        <v/>
      </c>
      <c r="H675" s="19" t="str">
        <f t="shared" si="31"/>
        <v/>
      </c>
    </row>
    <row r="676" spans="1:8" x14ac:dyDescent="0.25">
      <c r="A676" s="21" t="str">
        <f t="shared" si="32"/>
        <v/>
      </c>
      <c r="B676"/>
      <c r="C676"/>
      <c r="F676"/>
      <c r="G676" s="19" t="str">
        <f t="shared" si="30"/>
        <v/>
      </c>
      <c r="H676" s="19" t="str">
        <f t="shared" si="31"/>
        <v/>
      </c>
    </row>
    <row r="677" spans="1:8" x14ac:dyDescent="0.25">
      <c r="A677" s="21" t="str">
        <f t="shared" si="32"/>
        <v/>
      </c>
      <c r="B677"/>
      <c r="C677"/>
      <c r="F677"/>
      <c r="G677" s="19" t="str">
        <f t="shared" si="30"/>
        <v/>
      </c>
      <c r="H677" s="19" t="str">
        <f t="shared" si="31"/>
        <v/>
      </c>
    </row>
    <row r="678" spans="1:8" x14ac:dyDescent="0.25">
      <c r="A678" s="21" t="str">
        <f t="shared" si="32"/>
        <v/>
      </c>
      <c r="B678"/>
      <c r="C678"/>
      <c r="F678"/>
      <c r="G678" s="19" t="str">
        <f t="shared" si="30"/>
        <v/>
      </c>
      <c r="H678" s="19" t="str">
        <f t="shared" si="31"/>
        <v/>
      </c>
    </row>
    <row r="679" spans="1:8" x14ac:dyDescent="0.25">
      <c r="A679" s="21" t="str">
        <f t="shared" si="32"/>
        <v/>
      </c>
      <c r="B679"/>
      <c r="C679"/>
      <c r="F679"/>
      <c r="G679" s="19" t="str">
        <f t="shared" si="30"/>
        <v/>
      </c>
      <c r="H679" s="19" t="str">
        <f t="shared" si="31"/>
        <v/>
      </c>
    </row>
    <row r="680" spans="1:8" x14ac:dyDescent="0.25">
      <c r="A680" s="21" t="str">
        <f t="shared" si="32"/>
        <v/>
      </c>
      <c r="B680"/>
      <c r="C680"/>
      <c r="F680"/>
      <c r="G680" s="19" t="str">
        <f t="shared" si="30"/>
        <v/>
      </c>
      <c r="H680" s="19" t="str">
        <f t="shared" si="31"/>
        <v/>
      </c>
    </row>
    <row r="681" spans="1:8" x14ac:dyDescent="0.25">
      <c r="A681" s="21" t="str">
        <f t="shared" si="32"/>
        <v/>
      </c>
      <c r="B681"/>
      <c r="C681"/>
      <c r="F681"/>
      <c r="G681" s="19" t="str">
        <f t="shared" si="30"/>
        <v/>
      </c>
      <c r="H681" s="19" t="str">
        <f t="shared" si="31"/>
        <v/>
      </c>
    </row>
    <row r="682" spans="1:8" x14ac:dyDescent="0.25">
      <c r="A682" s="21" t="str">
        <f t="shared" si="32"/>
        <v/>
      </c>
      <c r="B682"/>
      <c r="C682"/>
      <c r="F682"/>
      <c r="G682" s="19" t="str">
        <f t="shared" si="30"/>
        <v/>
      </c>
      <c r="H682" s="19" t="str">
        <f t="shared" si="31"/>
        <v/>
      </c>
    </row>
    <row r="683" spans="1:8" x14ac:dyDescent="0.25">
      <c r="A683" s="21" t="str">
        <f t="shared" si="32"/>
        <v/>
      </c>
      <c r="B683"/>
      <c r="C683"/>
      <c r="F683"/>
      <c r="G683" s="19" t="str">
        <f t="shared" si="30"/>
        <v/>
      </c>
      <c r="H683" s="19" t="str">
        <f t="shared" si="31"/>
        <v/>
      </c>
    </row>
    <row r="684" spans="1:8" x14ac:dyDescent="0.25">
      <c r="A684" s="21" t="str">
        <f t="shared" si="32"/>
        <v/>
      </c>
      <c r="B684"/>
      <c r="C684"/>
      <c r="F684"/>
      <c r="G684" s="19" t="str">
        <f t="shared" si="30"/>
        <v/>
      </c>
      <c r="H684" s="19" t="str">
        <f t="shared" si="31"/>
        <v/>
      </c>
    </row>
    <row r="685" spans="1:8" x14ac:dyDescent="0.25">
      <c r="A685" s="21" t="str">
        <f t="shared" si="32"/>
        <v/>
      </c>
      <c r="B685"/>
      <c r="C685"/>
      <c r="F685"/>
      <c r="G685" s="19" t="str">
        <f t="shared" si="30"/>
        <v/>
      </c>
      <c r="H685" s="19" t="str">
        <f t="shared" si="31"/>
        <v/>
      </c>
    </row>
    <row r="686" spans="1:8" x14ac:dyDescent="0.25">
      <c r="A686" s="21" t="str">
        <f t="shared" si="32"/>
        <v/>
      </c>
      <c r="B686"/>
      <c r="C686"/>
      <c r="F686"/>
      <c r="G686" s="19" t="str">
        <f t="shared" si="30"/>
        <v/>
      </c>
      <c r="H686" s="19" t="str">
        <f t="shared" si="31"/>
        <v/>
      </c>
    </row>
    <row r="687" spans="1:8" x14ac:dyDescent="0.25">
      <c r="A687" s="21" t="str">
        <f t="shared" si="32"/>
        <v/>
      </c>
      <c r="B687"/>
      <c r="C687"/>
      <c r="F687"/>
      <c r="G687" s="19" t="str">
        <f t="shared" si="30"/>
        <v/>
      </c>
      <c r="H687" s="19" t="str">
        <f t="shared" si="31"/>
        <v/>
      </c>
    </row>
    <row r="688" spans="1:8" x14ac:dyDescent="0.25">
      <c r="A688" s="21" t="str">
        <f t="shared" si="32"/>
        <v/>
      </c>
      <c r="B688"/>
      <c r="C688"/>
      <c r="F688"/>
      <c r="G688" s="19" t="str">
        <f t="shared" si="30"/>
        <v/>
      </c>
      <c r="H688" s="19" t="str">
        <f t="shared" si="31"/>
        <v/>
      </c>
    </row>
    <row r="689" spans="1:8" x14ac:dyDescent="0.25">
      <c r="A689" s="21" t="str">
        <f t="shared" si="32"/>
        <v/>
      </c>
      <c r="B689"/>
      <c r="C689"/>
      <c r="F689"/>
      <c r="G689" s="19" t="str">
        <f t="shared" si="30"/>
        <v/>
      </c>
      <c r="H689" s="19" t="str">
        <f t="shared" si="31"/>
        <v/>
      </c>
    </row>
    <row r="690" spans="1:8" x14ac:dyDescent="0.25">
      <c r="A690" s="21" t="str">
        <f t="shared" si="32"/>
        <v/>
      </c>
      <c r="B690"/>
      <c r="C690"/>
      <c r="F690"/>
      <c r="G690" s="19" t="str">
        <f t="shared" si="30"/>
        <v/>
      </c>
      <c r="H690" s="19" t="str">
        <f t="shared" si="31"/>
        <v/>
      </c>
    </row>
    <row r="691" spans="1:8" x14ac:dyDescent="0.25">
      <c r="A691" s="21" t="str">
        <f t="shared" si="32"/>
        <v/>
      </c>
      <c r="B691"/>
      <c r="C691"/>
      <c r="F691"/>
      <c r="G691" s="19" t="str">
        <f t="shared" si="30"/>
        <v/>
      </c>
      <c r="H691" s="19" t="str">
        <f t="shared" si="31"/>
        <v/>
      </c>
    </row>
    <row r="692" spans="1:8" x14ac:dyDescent="0.25">
      <c r="A692" s="21" t="str">
        <f t="shared" si="32"/>
        <v/>
      </c>
      <c r="B692"/>
      <c r="C692"/>
      <c r="F692"/>
      <c r="G692" s="19" t="str">
        <f t="shared" si="30"/>
        <v/>
      </c>
      <c r="H692" s="19" t="str">
        <f t="shared" si="31"/>
        <v/>
      </c>
    </row>
    <row r="693" spans="1:8" x14ac:dyDescent="0.25">
      <c r="A693" s="21" t="str">
        <f t="shared" si="32"/>
        <v/>
      </c>
      <c r="B693"/>
      <c r="C693"/>
      <c r="F693"/>
      <c r="G693" s="19" t="str">
        <f t="shared" si="30"/>
        <v/>
      </c>
      <c r="H693" s="19" t="str">
        <f t="shared" si="31"/>
        <v/>
      </c>
    </row>
    <row r="694" spans="1:8" x14ac:dyDescent="0.25">
      <c r="A694" s="21" t="str">
        <f t="shared" si="32"/>
        <v/>
      </c>
      <c r="B694"/>
      <c r="C694"/>
      <c r="F694"/>
      <c r="G694" s="19" t="str">
        <f t="shared" si="30"/>
        <v/>
      </c>
      <c r="H694" s="19" t="str">
        <f t="shared" si="31"/>
        <v/>
      </c>
    </row>
    <row r="695" spans="1:8" x14ac:dyDescent="0.25">
      <c r="A695" s="21" t="str">
        <f t="shared" si="32"/>
        <v/>
      </c>
      <c r="B695"/>
      <c r="C695"/>
      <c r="F695"/>
      <c r="G695" s="19" t="str">
        <f t="shared" si="30"/>
        <v/>
      </c>
      <c r="H695" s="19" t="str">
        <f t="shared" si="31"/>
        <v/>
      </c>
    </row>
    <row r="696" spans="1:8" x14ac:dyDescent="0.25">
      <c r="A696" s="21" t="str">
        <f t="shared" si="32"/>
        <v/>
      </c>
      <c r="B696"/>
      <c r="C696"/>
      <c r="F696"/>
      <c r="G696" s="19" t="str">
        <f t="shared" si="30"/>
        <v/>
      </c>
      <c r="H696" s="19" t="str">
        <f t="shared" si="31"/>
        <v/>
      </c>
    </row>
    <row r="697" spans="1:8" x14ac:dyDescent="0.25">
      <c r="A697" s="21" t="str">
        <f t="shared" si="32"/>
        <v/>
      </c>
      <c r="B697"/>
      <c r="C697"/>
      <c r="F697"/>
      <c r="G697" s="19" t="str">
        <f t="shared" si="30"/>
        <v/>
      </c>
      <c r="H697" s="19" t="str">
        <f t="shared" si="31"/>
        <v/>
      </c>
    </row>
    <row r="698" spans="1:8" x14ac:dyDescent="0.25">
      <c r="A698" s="21" t="str">
        <f t="shared" si="32"/>
        <v/>
      </c>
      <c r="B698"/>
      <c r="C698"/>
      <c r="F698"/>
      <c r="G698" s="19" t="str">
        <f t="shared" si="30"/>
        <v/>
      </c>
      <c r="H698" s="19" t="str">
        <f t="shared" si="31"/>
        <v/>
      </c>
    </row>
    <row r="699" spans="1:8" x14ac:dyDescent="0.25">
      <c r="A699" s="21" t="str">
        <f t="shared" si="32"/>
        <v/>
      </c>
      <c r="B699"/>
      <c r="C699"/>
      <c r="F699"/>
      <c r="G699" s="19" t="str">
        <f t="shared" si="30"/>
        <v/>
      </c>
      <c r="H699" s="19" t="str">
        <f t="shared" si="31"/>
        <v/>
      </c>
    </row>
    <row r="700" spans="1:8" x14ac:dyDescent="0.25">
      <c r="A700" s="21" t="str">
        <f t="shared" si="32"/>
        <v/>
      </c>
      <c r="B700"/>
      <c r="C700"/>
      <c r="F700"/>
      <c r="G700" s="19" t="str">
        <f t="shared" si="30"/>
        <v/>
      </c>
      <c r="H700" s="19" t="str">
        <f t="shared" si="31"/>
        <v/>
      </c>
    </row>
    <row r="701" spans="1:8" x14ac:dyDescent="0.25">
      <c r="A701" s="21" t="str">
        <f t="shared" si="32"/>
        <v/>
      </c>
      <c r="B701"/>
      <c r="C701"/>
      <c r="F701"/>
      <c r="G701" s="19" t="str">
        <f t="shared" si="30"/>
        <v/>
      </c>
      <c r="H701" s="19" t="str">
        <f t="shared" si="31"/>
        <v/>
      </c>
    </row>
    <row r="702" spans="1:8" x14ac:dyDescent="0.25">
      <c r="A702" s="21" t="str">
        <f t="shared" si="32"/>
        <v/>
      </c>
      <c r="B702"/>
      <c r="C702"/>
      <c r="F702"/>
      <c r="G702" s="19" t="str">
        <f t="shared" si="30"/>
        <v/>
      </c>
      <c r="H702" s="19" t="str">
        <f t="shared" si="31"/>
        <v/>
      </c>
    </row>
    <row r="703" spans="1:8" x14ac:dyDescent="0.25">
      <c r="A703" s="21" t="str">
        <f t="shared" si="32"/>
        <v/>
      </c>
      <c r="B703"/>
      <c r="C703"/>
      <c r="F703"/>
      <c r="G703" s="19" t="str">
        <f t="shared" si="30"/>
        <v/>
      </c>
      <c r="H703" s="19" t="str">
        <f t="shared" si="31"/>
        <v/>
      </c>
    </row>
    <row r="704" spans="1:8" x14ac:dyDescent="0.25">
      <c r="A704" s="21" t="str">
        <f t="shared" si="32"/>
        <v/>
      </c>
      <c r="B704"/>
      <c r="C704"/>
      <c r="F704"/>
      <c r="G704" s="19" t="str">
        <f t="shared" si="30"/>
        <v/>
      </c>
      <c r="H704" s="19" t="str">
        <f t="shared" si="31"/>
        <v/>
      </c>
    </row>
    <row r="705" spans="1:8" x14ac:dyDescent="0.25">
      <c r="A705" s="21" t="str">
        <f t="shared" si="32"/>
        <v/>
      </c>
      <c r="B705"/>
      <c r="C705"/>
      <c r="F705"/>
      <c r="G705" s="19" t="str">
        <f t="shared" si="30"/>
        <v/>
      </c>
      <c r="H705" s="19" t="str">
        <f t="shared" si="31"/>
        <v/>
      </c>
    </row>
    <row r="706" spans="1:8" x14ac:dyDescent="0.25">
      <c r="A706" s="21" t="str">
        <f t="shared" si="32"/>
        <v/>
      </c>
      <c r="B706"/>
      <c r="C706"/>
      <c r="F706"/>
      <c r="G706" s="19" t="str">
        <f t="shared" si="30"/>
        <v/>
      </c>
      <c r="H706" s="19" t="str">
        <f t="shared" si="31"/>
        <v/>
      </c>
    </row>
    <row r="707" spans="1:8" x14ac:dyDescent="0.25">
      <c r="A707" s="21" t="str">
        <f t="shared" si="32"/>
        <v/>
      </c>
      <c r="B707"/>
      <c r="C707"/>
      <c r="F707"/>
      <c r="G707" s="19" t="str">
        <f t="shared" si="30"/>
        <v/>
      </c>
      <c r="H707" s="19" t="str">
        <f t="shared" si="31"/>
        <v/>
      </c>
    </row>
    <row r="708" spans="1:8" x14ac:dyDescent="0.25">
      <c r="A708" s="21" t="str">
        <f t="shared" si="32"/>
        <v/>
      </c>
      <c r="B708"/>
      <c r="C708"/>
      <c r="F708"/>
      <c r="G708" s="19" t="str">
        <f t="shared" ref="G708:G771" si="33">IFERROR(VLOOKUP(F708,$A$3:$C$1002,2,FALSE),"")</f>
        <v/>
      </c>
      <c r="H708" s="19" t="str">
        <f t="shared" ref="H708:H771" si="34">IFERROR(VLOOKUP(F708,$A$3:$C$1002,3,FALSE),"")</f>
        <v/>
      </c>
    </row>
    <row r="709" spans="1:8" x14ac:dyDescent="0.25">
      <c r="A709" s="21" t="str">
        <f t="shared" ref="A709:A772" si="35">IF(LEN(B709)&gt;0,RANK(C709,C$3:C$1002,0),"")</f>
        <v/>
      </c>
      <c r="B709"/>
      <c r="C709"/>
      <c r="F709"/>
      <c r="G709" s="19" t="str">
        <f t="shared" si="33"/>
        <v/>
      </c>
      <c r="H709" s="19" t="str">
        <f t="shared" si="34"/>
        <v/>
      </c>
    </row>
    <row r="710" spans="1:8" x14ac:dyDescent="0.25">
      <c r="A710" s="21" t="str">
        <f t="shared" si="35"/>
        <v/>
      </c>
      <c r="B710"/>
      <c r="C710"/>
      <c r="F710"/>
      <c r="G710" s="19" t="str">
        <f t="shared" si="33"/>
        <v/>
      </c>
      <c r="H710" s="19" t="str">
        <f t="shared" si="34"/>
        <v/>
      </c>
    </row>
    <row r="711" spans="1:8" x14ac:dyDescent="0.25">
      <c r="A711" s="21" t="str">
        <f t="shared" si="35"/>
        <v/>
      </c>
      <c r="B711"/>
      <c r="C711"/>
      <c r="F711"/>
      <c r="G711" s="19" t="str">
        <f t="shared" si="33"/>
        <v/>
      </c>
      <c r="H711" s="19" t="str">
        <f t="shared" si="34"/>
        <v/>
      </c>
    </row>
    <row r="712" spans="1:8" x14ac:dyDescent="0.25">
      <c r="A712" s="21" t="str">
        <f t="shared" si="35"/>
        <v/>
      </c>
      <c r="B712"/>
      <c r="C712"/>
      <c r="F712"/>
      <c r="G712" s="19" t="str">
        <f t="shared" si="33"/>
        <v/>
      </c>
      <c r="H712" s="19" t="str">
        <f t="shared" si="34"/>
        <v/>
      </c>
    </row>
    <row r="713" spans="1:8" x14ac:dyDescent="0.25">
      <c r="A713" s="21" t="str">
        <f t="shared" si="35"/>
        <v/>
      </c>
      <c r="B713"/>
      <c r="C713"/>
      <c r="F713"/>
      <c r="G713" s="19" t="str">
        <f t="shared" si="33"/>
        <v/>
      </c>
      <c r="H713" s="19" t="str">
        <f t="shared" si="34"/>
        <v/>
      </c>
    </row>
    <row r="714" spans="1:8" x14ac:dyDescent="0.25">
      <c r="A714" s="21" t="str">
        <f t="shared" si="35"/>
        <v/>
      </c>
      <c r="B714"/>
      <c r="C714"/>
      <c r="F714"/>
      <c r="G714" s="19" t="str">
        <f t="shared" si="33"/>
        <v/>
      </c>
      <c r="H714" s="19" t="str">
        <f t="shared" si="34"/>
        <v/>
      </c>
    </row>
    <row r="715" spans="1:8" x14ac:dyDescent="0.25">
      <c r="A715" s="21" t="str">
        <f t="shared" si="35"/>
        <v/>
      </c>
      <c r="B715"/>
      <c r="C715"/>
      <c r="F715"/>
      <c r="G715" s="19" t="str">
        <f t="shared" si="33"/>
        <v/>
      </c>
      <c r="H715" s="19" t="str">
        <f t="shared" si="34"/>
        <v/>
      </c>
    </row>
    <row r="716" spans="1:8" x14ac:dyDescent="0.25">
      <c r="A716" s="21" t="str">
        <f t="shared" si="35"/>
        <v/>
      </c>
      <c r="B716"/>
      <c r="C716"/>
      <c r="F716"/>
      <c r="G716" s="19" t="str">
        <f t="shared" si="33"/>
        <v/>
      </c>
      <c r="H716" s="19" t="str">
        <f t="shared" si="34"/>
        <v/>
      </c>
    </row>
    <row r="717" spans="1:8" x14ac:dyDescent="0.25">
      <c r="A717" s="21" t="str">
        <f t="shared" si="35"/>
        <v/>
      </c>
      <c r="B717"/>
      <c r="C717"/>
      <c r="F717"/>
      <c r="G717" s="19" t="str">
        <f t="shared" si="33"/>
        <v/>
      </c>
      <c r="H717" s="19" t="str">
        <f t="shared" si="34"/>
        <v/>
      </c>
    </row>
    <row r="718" spans="1:8" x14ac:dyDescent="0.25">
      <c r="A718" s="21" t="str">
        <f t="shared" si="35"/>
        <v/>
      </c>
      <c r="B718"/>
      <c r="C718"/>
      <c r="F718"/>
      <c r="G718" s="19" t="str">
        <f t="shared" si="33"/>
        <v/>
      </c>
      <c r="H718" s="19" t="str">
        <f t="shared" si="34"/>
        <v/>
      </c>
    </row>
    <row r="719" spans="1:8" x14ac:dyDescent="0.25">
      <c r="A719" s="21" t="str">
        <f t="shared" si="35"/>
        <v/>
      </c>
      <c r="B719"/>
      <c r="C719"/>
      <c r="F719"/>
      <c r="G719" s="19" t="str">
        <f t="shared" si="33"/>
        <v/>
      </c>
      <c r="H719" s="19" t="str">
        <f t="shared" si="34"/>
        <v/>
      </c>
    </row>
    <row r="720" spans="1:8" x14ac:dyDescent="0.25">
      <c r="A720" s="21" t="str">
        <f t="shared" si="35"/>
        <v/>
      </c>
      <c r="B720"/>
      <c r="C720"/>
      <c r="F720"/>
      <c r="G720" s="19" t="str">
        <f t="shared" si="33"/>
        <v/>
      </c>
      <c r="H720" s="19" t="str">
        <f t="shared" si="34"/>
        <v/>
      </c>
    </row>
    <row r="721" spans="1:8" x14ac:dyDescent="0.25">
      <c r="A721" s="21" t="str">
        <f t="shared" si="35"/>
        <v/>
      </c>
      <c r="B721"/>
      <c r="C721"/>
      <c r="F721"/>
      <c r="G721" s="19" t="str">
        <f t="shared" si="33"/>
        <v/>
      </c>
      <c r="H721" s="19" t="str">
        <f t="shared" si="34"/>
        <v/>
      </c>
    </row>
    <row r="722" spans="1:8" x14ac:dyDescent="0.25">
      <c r="A722" s="21" t="str">
        <f t="shared" si="35"/>
        <v/>
      </c>
      <c r="B722"/>
      <c r="C722"/>
      <c r="F722"/>
      <c r="G722" s="19" t="str">
        <f t="shared" si="33"/>
        <v/>
      </c>
      <c r="H722" s="19" t="str">
        <f t="shared" si="34"/>
        <v/>
      </c>
    </row>
    <row r="723" spans="1:8" x14ac:dyDescent="0.25">
      <c r="A723" s="21" t="str">
        <f t="shared" si="35"/>
        <v/>
      </c>
      <c r="B723"/>
      <c r="C723"/>
      <c r="F723"/>
      <c r="G723" s="19" t="str">
        <f t="shared" si="33"/>
        <v/>
      </c>
      <c r="H723" s="19" t="str">
        <f t="shared" si="34"/>
        <v/>
      </c>
    </row>
    <row r="724" spans="1:8" x14ac:dyDescent="0.25">
      <c r="A724" s="21" t="str">
        <f t="shared" si="35"/>
        <v/>
      </c>
      <c r="B724"/>
      <c r="C724"/>
      <c r="F724"/>
      <c r="G724" s="19" t="str">
        <f t="shared" si="33"/>
        <v/>
      </c>
      <c r="H724" s="19" t="str">
        <f t="shared" si="34"/>
        <v/>
      </c>
    </row>
    <row r="725" spans="1:8" x14ac:dyDescent="0.25">
      <c r="A725" s="21" t="str">
        <f t="shared" si="35"/>
        <v/>
      </c>
      <c r="B725"/>
      <c r="C725"/>
      <c r="F725"/>
      <c r="G725" s="19" t="str">
        <f t="shared" si="33"/>
        <v/>
      </c>
      <c r="H725" s="19" t="str">
        <f t="shared" si="34"/>
        <v/>
      </c>
    </row>
    <row r="726" spans="1:8" x14ac:dyDescent="0.25">
      <c r="A726" s="21" t="str">
        <f t="shared" si="35"/>
        <v/>
      </c>
      <c r="B726"/>
      <c r="C726"/>
      <c r="F726"/>
      <c r="G726" s="19" t="str">
        <f t="shared" si="33"/>
        <v/>
      </c>
      <c r="H726" s="19" t="str">
        <f t="shared" si="34"/>
        <v/>
      </c>
    </row>
    <row r="727" spans="1:8" x14ac:dyDescent="0.25">
      <c r="A727" s="21" t="str">
        <f t="shared" si="35"/>
        <v/>
      </c>
      <c r="B727"/>
      <c r="C727"/>
      <c r="F727"/>
      <c r="G727" s="19" t="str">
        <f t="shared" si="33"/>
        <v/>
      </c>
      <c r="H727" s="19" t="str">
        <f t="shared" si="34"/>
        <v/>
      </c>
    </row>
    <row r="728" spans="1:8" x14ac:dyDescent="0.25">
      <c r="A728" s="21" t="str">
        <f t="shared" si="35"/>
        <v/>
      </c>
      <c r="B728"/>
      <c r="C728"/>
      <c r="F728"/>
      <c r="G728" s="19" t="str">
        <f t="shared" si="33"/>
        <v/>
      </c>
      <c r="H728" s="19" t="str">
        <f t="shared" si="34"/>
        <v/>
      </c>
    </row>
    <row r="729" spans="1:8" x14ac:dyDescent="0.25">
      <c r="A729" s="21" t="str">
        <f t="shared" si="35"/>
        <v/>
      </c>
      <c r="B729"/>
      <c r="C729"/>
      <c r="F729"/>
      <c r="G729" s="19" t="str">
        <f t="shared" si="33"/>
        <v/>
      </c>
      <c r="H729" s="19" t="str">
        <f t="shared" si="34"/>
        <v/>
      </c>
    </row>
    <row r="730" spans="1:8" x14ac:dyDescent="0.25">
      <c r="A730" s="21" t="str">
        <f t="shared" si="35"/>
        <v/>
      </c>
      <c r="B730"/>
      <c r="C730"/>
      <c r="F730"/>
      <c r="G730" s="19" t="str">
        <f t="shared" si="33"/>
        <v/>
      </c>
      <c r="H730" s="19" t="str">
        <f t="shared" si="34"/>
        <v/>
      </c>
    </row>
    <row r="731" spans="1:8" x14ac:dyDescent="0.25">
      <c r="A731" s="21" t="str">
        <f t="shared" si="35"/>
        <v/>
      </c>
      <c r="B731"/>
      <c r="C731"/>
      <c r="F731"/>
      <c r="G731" s="19" t="str">
        <f t="shared" si="33"/>
        <v/>
      </c>
      <c r="H731" s="19" t="str">
        <f t="shared" si="34"/>
        <v/>
      </c>
    </row>
    <row r="732" spans="1:8" x14ac:dyDescent="0.25">
      <c r="A732" s="21" t="str">
        <f t="shared" si="35"/>
        <v/>
      </c>
      <c r="B732"/>
      <c r="C732"/>
      <c r="F732"/>
      <c r="G732" s="19" t="str">
        <f t="shared" si="33"/>
        <v/>
      </c>
      <c r="H732" s="19" t="str">
        <f t="shared" si="34"/>
        <v/>
      </c>
    </row>
    <row r="733" spans="1:8" x14ac:dyDescent="0.25">
      <c r="A733" s="21" t="str">
        <f t="shared" si="35"/>
        <v/>
      </c>
      <c r="B733"/>
      <c r="C733"/>
      <c r="F733"/>
      <c r="G733" s="19" t="str">
        <f t="shared" si="33"/>
        <v/>
      </c>
      <c r="H733" s="19" t="str">
        <f t="shared" si="34"/>
        <v/>
      </c>
    </row>
    <row r="734" spans="1:8" x14ac:dyDescent="0.25">
      <c r="A734" s="21" t="str">
        <f t="shared" si="35"/>
        <v/>
      </c>
      <c r="B734"/>
      <c r="C734"/>
      <c r="F734"/>
      <c r="G734" s="19" t="str">
        <f t="shared" si="33"/>
        <v/>
      </c>
      <c r="H734" s="19" t="str">
        <f t="shared" si="34"/>
        <v/>
      </c>
    </row>
    <row r="735" spans="1:8" x14ac:dyDescent="0.25">
      <c r="A735" s="21" t="str">
        <f t="shared" si="35"/>
        <v/>
      </c>
      <c r="B735"/>
      <c r="C735"/>
      <c r="F735"/>
      <c r="G735" s="19" t="str">
        <f t="shared" si="33"/>
        <v/>
      </c>
      <c r="H735" s="19" t="str">
        <f t="shared" si="34"/>
        <v/>
      </c>
    </row>
    <row r="736" spans="1:8" x14ac:dyDescent="0.25">
      <c r="A736" s="21" t="str">
        <f t="shared" si="35"/>
        <v/>
      </c>
      <c r="B736"/>
      <c r="C736"/>
      <c r="F736"/>
      <c r="G736" s="19" t="str">
        <f t="shared" si="33"/>
        <v/>
      </c>
      <c r="H736" s="19" t="str">
        <f t="shared" si="34"/>
        <v/>
      </c>
    </row>
    <row r="737" spans="1:8" x14ac:dyDescent="0.25">
      <c r="A737" s="21" t="str">
        <f t="shared" si="35"/>
        <v/>
      </c>
      <c r="B737"/>
      <c r="C737"/>
      <c r="F737"/>
      <c r="G737" s="19" t="str">
        <f t="shared" si="33"/>
        <v/>
      </c>
      <c r="H737" s="19" t="str">
        <f t="shared" si="34"/>
        <v/>
      </c>
    </row>
    <row r="738" spans="1:8" x14ac:dyDescent="0.25">
      <c r="A738" s="21" t="str">
        <f t="shared" si="35"/>
        <v/>
      </c>
      <c r="B738"/>
      <c r="C738"/>
      <c r="F738"/>
      <c r="G738" s="19" t="str">
        <f t="shared" si="33"/>
        <v/>
      </c>
      <c r="H738" s="19" t="str">
        <f t="shared" si="34"/>
        <v/>
      </c>
    </row>
    <row r="739" spans="1:8" x14ac:dyDescent="0.25">
      <c r="A739" s="21" t="str">
        <f t="shared" si="35"/>
        <v/>
      </c>
      <c r="B739"/>
      <c r="C739"/>
      <c r="F739"/>
      <c r="G739" s="19" t="str">
        <f t="shared" si="33"/>
        <v/>
      </c>
      <c r="H739" s="19" t="str">
        <f t="shared" si="34"/>
        <v/>
      </c>
    </row>
    <row r="740" spans="1:8" x14ac:dyDescent="0.25">
      <c r="A740" s="21" t="str">
        <f t="shared" si="35"/>
        <v/>
      </c>
      <c r="B740"/>
      <c r="C740"/>
      <c r="F740"/>
      <c r="G740" s="19" t="str">
        <f t="shared" si="33"/>
        <v/>
      </c>
      <c r="H740" s="19" t="str">
        <f t="shared" si="34"/>
        <v/>
      </c>
    </row>
    <row r="741" spans="1:8" x14ac:dyDescent="0.25">
      <c r="A741" s="21" t="str">
        <f t="shared" si="35"/>
        <v/>
      </c>
      <c r="B741"/>
      <c r="C741"/>
      <c r="F741"/>
      <c r="G741" s="19" t="str">
        <f t="shared" si="33"/>
        <v/>
      </c>
      <c r="H741" s="19" t="str">
        <f t="shared" si="34"/>
        <v/>
      </c>
    </row>
    <row r="742" spans="1:8" x14ac:dyDescent="0.25">
      <c r="A742" s="21" t="str">
        <f t="shared" si="35"/>
        <v/>
      </c>
      <c r="B742"/>
      <c r="C742"/>
      <c r="F742"/>
      <c r="G742" s="19" t="str">
        <f t="shared" si="33"/>
        <v/>
      </c>
      <c r="H742" s="19" t="str">
        <f t="shared" si="34"/>
        <v/>
      </c>
    </row>
    <row r="743" spans="1:8" x14ac:dyDescent="0.25">
      <c r="A743" s="21" t="str">
        <f t="shared" si="35"/>
        <v/>
      </c>
      <c r="B743"/>
      <c r="C743"/>
      <c r="F743"/>
      <c r="G743" s="19" t="str">
        <f t="shared" si="33"/>
        <v/>
      </c>
      <c r="H743" s="19" t="str">
        <f t="shared" si="34"/>
        <v/>
      </c>
    </row>
    <row r="744" spans="1:8" x14ac:dyDescent="0.25">
      <c r="A744" s="21" t="str">
        <f t="shared" si="35"/>
        <v/>
      </c>
      <c r="B744"/>
      <c r="C744"/>
      <c r="F744"/>
      <c r="G744" s="19" t="str">
        <f t="shared" si="33"/>
        <v/>
      </c>
      <c r="H744" s="19" t="str">
        <f t="shared" si="34"/>
        <v/>
      </c>
    </row>
    <row r="745" spans="1:8" x14ac:dyDescent="0.25">
      <c r="A745" s="21" t="str">
        <f t="shared" si="35"/>
        <v/>
      </c>
      <c r="B745"/>
      <c r="C745"/>
      <c r="F745"/>
      <c r="G745" s="19" t="str">
        <f t="shared" si="33"/>
        <v/>
      </c>
      <c r="H745" s="19" t="str">
        <f t="shared" si="34"/>
        <v/>
      </c>
    </row>
    <row r="746" spans="1:8" x14ac:dyDescent="0.25">
      <c r="A746" s="21" t="str">
        <f t="shared" si="35"/>
        <v/>
      </c>
      <c r="B746"/>
      <c r="C746"/>
      <c r="F746"/>
      <c r="G746" s="19" t="str">
        <f t="shared" si="33"/>
        <v/>
      </c>
      <c r="H746" s="19" t="str">
        <f t="shared" si="34"/>
        <v/>
      </c>
    </row>
    <row r="747" spans="1:8" x14ac:dyDescent="0.25">
      <c r="A747" s="21" t="str">
        <f t="shared" si="35"/>
        <v/>
      </c>
      <c r="B747"/>
      <c r="C747"/>
      <c r="F747"/>
      <c r="G747" s="19" t="str">
        <f t="shared" si="33"/>
        <v/>
      </c>
      <c r="H747" s="19" t="str">
        <f t="shared" si="34"/>
        <v/>
      </c>
    </row>
    <row r="748" spans="1:8" x14ac:dyDescent="0.25">
      <c r="A748" s="21" t="str">
        <f t="shared" si="35"/>
        <v/>
      </c>
      <c r="B748"/>
      <c r="C748"/>
      <c r="F748"/>
      <c r="G748" s="19" t="str">
        <f t="shared" si="33"/>
        <v/>
      </c>
      <c r="H748" s="19" t="str">
        <f t="shared" si="34"/>
        <v/>
      </c>
    </row>
    <row r="749" spans="1:8" x14ac:dyDescent="0.25">
      <c r="A749" s="21" t="str">
        <f t="shared" si="35"/>
        <v/>
      </c>
      <c r="B749"/>
      <c r="C749"/>
      <c r="F749"/>
      <c r="G749" s="19" t="str">
        <f t="shared" si="33"/>
        <v/>
      </c>
      <c r="H749" s="19" t="str">
        <f t="shared" si="34"/>
        <v/>
      </c>
    </row>
    <row r="750" spans="1:8" x14ac:dyDescent="0.25">
      <c r="A750" s="21" t="str">
        <f t="shared" si="35"/>
        <v/>
      </c>
      <c r="B750"/>
      <c r="C750"/>
      <c r="F750"/>
      <c r="G750" s="19" t="str">
        <f t="shared" si="33"/>
        <v/>
      </c>
      <c r="H750" s="19" t="str">
        <f t="shared" si="34"/>
        <v/>
      </c>
    </row>
    <row r="751" spans="1:8" x14ac:dyDescent="0.25">
      <c r="A751" s="21" t="str">
        <f t="shared" si="35"/>
        <v/>
      </c>
      <c r="B751"/>
      <c r="C751"/>
      <c r="F751"/>
      <c r="G751" s="19" t="str">
        <f t="shared" si="33"/>
        <v/>
      </c>
      <c r="H751" s="19" t="str">
        <f t="shared" si="34"/>
        <v/>
      </c>
    </row>
    <row r="752" spans="1:8" x14ac:dyDescent="0.25">
      <c r="A752" s="21" t="str">
        <f t="shared" si="35"/>
        <v/>
      </c>
      <c r="B752"/>
      <c r="C752"/>
      <c r="F752"/>
      <c r="G752" s="19" t="str">
        <f t="shared" si="33"/>
        <v/>
      </c>
      <c r="H752" s="19" t="str">
        <f t="shared" si="34"/>
        <v/>
      </c>
    </row>
    <row r="753" spans="1:8" x14ac:dyDescent="0.25">
      <c r="A753" s="21" t="str">
        <f t="shared" si="35"/>
        <v/>
      </c>
      <c r="B753"/>
      <c r="C753"/>
      <c r="F753"/>
      <c r="G753" s="19" t="str">
        <f t="shared" si="33"/>
        <v/>
      </c>
      <c r="H753" s="19" t="str">
        <f t="shared" si="34"/>
        <v/>
      </c>
    </row>
    <row r="754" spans="1:8" x14ac:dyDescent="0.25">
      <c r="A754" s="21" t="str">
        <f t="shared" si="35"/>
        <v/>
      </c>
      <c r="B754"/>
      <c r="C754"/>
      <c r="F754"/>
      <c r="G754" s="19" t="str">
        <f t="shared" si="33"/>
        <v/>
      </c>
      <c r="H754" s="19" t="str">
        <f t="shared" si="34"/>
        <v/>
      </c>
    </row>
    <row r="755" spans="1:8" x14ac:dyDescent="0.25">
      <c r="A755" s="21" t="str">
        <f t="shared" si="35"/>
        <v/>
      </c>
      <c r="B755"/>
      <c r="C755"/>
      <c r="F755"/>
      <c r="G755" s="19" t="str">
        <f t="shared" si="33"/>
        <v/>
      </c>
      <c r="H755" s="19" t="str">
        <f t="shared" si="34"/>
        <v/>
      </c>
    </row>
    <row r="756" spans="1:8" x14ac:dyDescent="0.25">
      <c r="A756" s="21" t="str">
        <f t="shared" si="35"/>
        <v/>
      </c>
      <c r="B756"/>
      <c r="C756"/>
      <c r="F756"/>
      <c r="G756" s="19" t="str">
        <f t="shared" si="33"/>
        <v/>
      </c>
      <c r="H756" s="19" t="str">
        <f t="shared" si="34"/>
        <v/>
      </c>
    </row>
    <row r="757" spans="1:8" x14ac:dyDescent="0.25">
      <c r="A757" s="21" t="str">
        <f t="shared" si="35"/>
        <v/>
      </c>
      <c r="B757"/>
      <c r="C757"/>
      <c r="F757"/>
      <c r="G757" s="19" t="str">
        <f t="shared" si="33"/>
        <v/>
      </c>
      <c r="H757" s="19" t="str">
        <f t="shared" si="34"/>
        <v/>
      </c>
    </row>
    <row r="758" spans="1:8" x14ac:dyDescent="0.25">
      <c r="A758" s="21" t="str">
        <f t="shared" si="35"/>
        <v/>
      </c>
      <c r="B758"/>
      <c r="C758"/>
      <c r="F758"/>
      <c r="G758" s="19" t="str">
        <f t="shared" si="33"/>
        <v/>
      </c>
      <c r="H758" s="19" t="str">
        <f t="shared" si="34"/>
        <v/>
      </c>
    </row>
    <row r="759" spans="1:8" x14ac:dyDescent="0.25">
      <c r="A759" s="21" t="str">
        <f t="shared" si="35"/>
        <v/>
      </c>
      <c r="B759"/>
      <c r="C759"/>
      <c r="F759"/>
      <c r="G759" s="19" t="str">
        <f t="shared" si="33"/>
        <v/>
      </c>
      <c r="H759" s="19" t="str">
        <f t="shared" si="34"/>
        <v/>
      </c>
    </row>
    <row r="760" spans="1:8" x14ac:dyDescent="0.25">
      <c r="A760" s="21" t="str">
        <f t="shared" si="35"/>
        <v/>
      </c>
      <c r="B760"/>
      <c r="C760"/>
      <c r="F760"/>
      <c r="G760" s="19" t="str">
        <f t="shared" si="33"/>
        <v/>
      </c>
      <c r="H760" s="19" t="str">
        <f t="shared" si="34"/>
        <v/>
      </c>
    </row>
    <row r="761" spans="1:8" x14ac:dyDescent="0.25">
      <c r="A761" s="21" t="str">
        <f t="shared" si="35"/>
        <v/>
      </c>
      <c r="B761"/>
      <c r="C761"/>
      <c r="F761"/>
      <c r="G761" s="19" t="str">
        <f t="shared" si="33"/>
        <v/>
      </c>
      <c r="H761" s="19" t="str">
        <f t="shared" si="34"/>
        <v/>
      </c>
    </row>
    <row r="762" spans="1:8" x14ac:dyDescent="0.25">
      <c r="A762" s="21" t="str">
        <f t="shared" si="35"/>
        <v/>
      </c>
      <c r="B762"/>
      <c r="C762"/>
      <c r="F762"/>
      <c r="G762" s="19" t="str">
        <f t="shared" si="33"/>
        <v/>
      </c>
      <c r="H762" s="19" t="str">
        <f t="shared" si="34"/>
        <v/>
      </c>
    </row>
    <row r="763" spans="1:8" x14ac:dyDescent="0.25">
      <c r="A763" s="21" t="str">
        <f t="shared" si="35"/>
        <v/>
      </c>
      <c r="B763"/>
      <c r="C763"/>
      <c r="F763"/>
      <c r="G763" s="19" t="str">
        <f t="shared" si="33"/>
        <v/>
      </c>
      <c r="H763" s="19" t="str">
        <f t="shared" si="34"/>
        <v/>
      </c>
    </row>
    <row r="764" spans="1:8" x14ac:dyDescent="0.25">
      <c r="A764" s="21" t="str">
        <f t="shared" si="35"/>
        <v/>
      </c>
      <c r="B764"/>
      <c r="C764"/>
      <c r="F764"/>
      <c r="G764" s="19" t="str">
        <f t="shared" si="33"/>
        <v/>
      </c>
      <c r="H764" s="19" t="str">
        <f t="shared" si="34"/>
        <v/>
      </c>
    </row>
    <row r="765" spans="1:8" x14ac:dyDescent="0.25">
      <c r="A765" s="21" t="str">
        <f t="shared" si="35"/>
        <v/>
      </c>
      <c r="B765"/>
      <c r="C765"/>
      <c r="F765"/>
      <c r="G765" s="19" t="str">
        <f t="shared" si="33"/>
        <v/>
      </c>
      <c r="H765" s="19" t="str">
        <f t="shared" si="34"/>
        <v/>
      </c>
    </row>
    <row r="766" spans="1:8" x14ac:dyDescent="0.25">
      <c r="A766" s="21" t="str">
        <f t="shared" si="35"/>
        <v/>
      </c>
      <c r="B766"/>
      <c r="C766"/>
      <c r="F766"/>
      <c r="G766" s="19" t="str">
        <f t="shared" si="33"/>
        <v/>
      </c>
      <c r="H766" s="19" t="str">
        <f t="shared" si="34"/>
        <v/>
      </c>
    </row>
    <row r="767" spans="1:8" x14ac:dyDescent="0.25">
      <c r="A767" s="21" t="str">
        <f t="shared" si="35"/>
        <v/>
      </c>
      <c r="B767"/>
      <c r="C767"/>
      <c r="F767"/>
      <c r="G767" s="19" t="str">
        <f t="shared" si="33"/>
        <v/>
      </c>
      <c r="H767" s="19" t="str">
        <f t="shared" si="34"/>
        <v/>
      </c>
    </row>
    <row r="768" spans="1:8" x14ac:dyDescent="0.25">
      <c r="A768" s="21" t="str">
        <f t="shared" si="35"/>
        <v/>
      </c>
      <c r="B768"/>
      <c r="C768"/>
      <c r="F768"/>
      <c r="G768" s="19" t="str">
        <f t="shared" si="33"/>
        <v/>
      </c>
      <c r="H768" s="19" t="str">
        <f t="shared" si="34"/>
        <v/>
      </c>
    </row>
    <row r="769" spans="1:8" x14ac:dyDescent="0.25">
      <c r="A769" s="21" t="str">
        <f t="shared" si="35"/>
        <v/>
      </c>
      <c r="B769"/>
      <c r="C769"/>
      <c r="F769"/>
      <c r="G769" s="19" t="str">
        <f t="shared" si="33"/>
        <v/>
      </c>
      <c r="H769" s="19" t="str">
        <f t="shared" si="34"/>
        <v/>
      </c>
    </row>
    <row r="770" spans="1:8" x14ac:dyDescent="0.25">
      <c r="A770" s="21" t="str">
        <f t="shared" si="35"/>
        <v/>
      </c>
      <c r="B770"/>
      <c r="C770"/>
      <c r="F770"/>
      <c r="G770" s="19" t="str">
        <f t="shared" si="33"/>
        <v/>
      </c>
      <c r="H770" s="19" t="str">
        <f t="shared" si="34"/>
        <v/>
      </c>
    </row>
    <row r="771" spans="1:8" x14ac:dyDescent="0.25">
      <c r="A771" s="21" t="str">
        <f t="shared" si="35"/>
        <v/>
      </c>
      <c r="B771"/>
      <c r="C771"/>
      <c r="F771"/>
      <c r="G771" s="19" t="str">
        <f t="shared" si="33"/>
        <v/>
      </c>
      <c r="H771" s="19" t="str">
        <f t="shared" si="34"/>
        <v/>
      </c>
    </row>
    <row r="772" spans="1:8" x14ac:dyDescent="0.25">
      <c r="A772" s="21" t="str">
        <f t="shared" si="35"/>
        <v/>
      </c>
      <c r="B772"/>
      <c r="C772"/>
      <c r="F772"/>
      <c r="G772" s="19" t="str">
        <f t="shared" ref="G772:G835" si="36">IFERROR(VLOOKUP(F772,$A$3:$C$1002,2,FALSE),"")</f>
        <v/>
      </c>
      <c r="H772" s="19" t="str">
        <f t="shared" ref="H772:H835" si="37">IFERROR(VLOOKUP(F772,$A$3:$C$1002,3,FALSE),"")</f>
        <v/>
      </c>
    </row>
    <row r="773" spans="1:8" x14ac:dyDescent="0.25">
      <c r="A773" s="21" t="str">
        <f t="shared" ref="A773:A836" si="38">IF(LEN(B773)&gt;0,RANK(C773,C$3:C$1002,0),"")</f>
        <v/>
      </c>
      <c r="B773"/>
      <c r="C773"/>
      <c r="F773"/>
      <c r="G773" s="19" t="str">
        <f t="shared" si="36"/>
        <v/>
      </c>
      <c r="H773" s="19" t="str">
        <f t="shared" si="37"/>
        <v/>
      </c>
    </row>
    <row r="774" spans="1:8" x14ac:dyDescent="0.25">
      <c r="A774" s="21" t="str">
        <f t="shared" si="38"/>
        <v/>
      </c>
      <c r="B774"/>
      <c r="C774"/>
      <c r="F774"/>
      <c r="G774" s="19" t="str">
        <f t="shared" si="36"/>
        <v/>
      </c>
      <c r="H774" s="19" t="str">
        <f t="shared" si="37"/>
        <v/>
      </c>
    </row>
    <row r="775" spans="1:8" x14ac:dyDescent="0.25">
      <c r="A775" s="21" t="str">
        <f t="shared" si="38"/>
        <v/>
      </c>
      <c r="B775"/>
      <c r="C775"/>
      <c r="F775"/>
      <c r="G775" s="19" t="str">
        <f t="shared" si="36"/>
        <v/>
      </c>
      <c r="H775" s="19" t="str">
        <f t="shared" si="37"/>
        <v/>
      </c>
    </row>
    <row r="776" spans="1:8" x14ac:dyDescent="0.25">
      <c r="A776" s="21" t="str">
        <f t="shared" si="38"/>
        <v/>
      </c>
      <c r="B776"/>
      <c r="C776"/>
      <c r="F776"/>
      <c r="G776" s="19" t="str">
        <f t="shared" si="36"/>
        <v/>
      </c>
      <c r="H776" s="19" t="str">
        <f t="shared" si="37"/>
        <v/>
      </c>
    </row>
    <row r="777" spans="1:8" x14ac:dyDescent="0.25">
      <c r="A777" s="21" t="str">
        <f t="shared" si="38"/>
        <v/>
      </c>
      <c r="B777"/>
      <c r="C777"/>
      <c r="F777"/>
      <c r="G777" s="19" t="str">
        <f t="shared" si="36"/>
        <v/>
      </c>
      <c r="H777" s="19" t="str">
        <f t="shared" si="37"/>
        <v/>
      </c>
    </row>
    <row r="778" spans="1:8" x14ac:dyDescent="0.25">
      <c r="A778" s="21" t="str">
        <f t="shared" si="38"/>
        <v/>
      </c>
      <c r="B778"/>
      <c r="C778"/>
      <c r="F778"/>
      <c r="G778" s="19" t="str">
        <f t="shared" si="36"/>
        <v/>
      </c>
      <c r="H778" s="19" t="str">
        <f t="shared" si="37"/>
        <v/>
      </c>
    </row>
    <row r="779" spans="1:8" x14ac:dyDescent="0.25">
      <c r="A779" s="21" t="str">
        <f t="shared" si="38"/>
        <v/>
      </c>
      <c r="B779"/>
      <c r="C779"/>
      <c r="F779"/>
      <c r="G779" s="19" t="str">
        <f t="shared" si="36"/>
        <v/>
      </c>
      <c r="H779" s="19" t="str">
        <f t="shared" si="37"/>
        <v/>
      </c>
    </row>
    <row r="780" spans="1:8" x14ac:dyDescent="0.25">
      <c r="A780" s="21" t="str">
        <f t="shared" si="38"/>
        <v/>
      </c>
      <c r="B780"/>
      <c r="C780"/>
      <c r="F780"/>
      <c r="G780" s="19" t="str">
        <f t="shared" si="36"/>
        <v/>
      </c>
      <c r="H780" s="19" t="str">
        <f t="shared" si="37"/>
        <v/>
      </c>
    </row>
    <row r="781" spans="1:8" x14ac:dyDescent="0.25">
      <c r="A781" s="21" t="str">
        <f t="shared" si="38"/>
        <v/>
      </c>
      <c r="B781"/>
      <c r="C781"/>
      <c r="F781"/>
      <c r="G781" s="19" t="str">
        <f t="shared" si="36"/>
        <v/>
      </c>
      <c r="H781" s="19" t="str">
        <f t="shared" si="37"/>
        <v/>
      </c>
    </row>
    <row r="782" spans="1:8" x14ac:dyDescent="0.25">
      <c r="A782" s="21" t="str">
        <f t="shared" si="38"/>
        <v/>
      </c>
      <c r="B782"/>
      <c r="C782"/>
      <c r="F782"/>
      <c r="G782" s="19" t="str">
        <f t="shared" si="36"/>
        <v/>
      </c>
      <c r="H782" s="19" t="str">
        <f t="shared" si="37"/>
        <v/>
      </c>
    </row>
    <row r="783" spans="1:8" x14ac:dyDescent="0.25">
      <c r="A783" s="21" t="str">
        <f t="shared" si="38"/>
        <v/>
      </c>
      <c r="B783"/>
      <c r="C783"/>
      <c r="F783"/>
      <c r="G783" s="19" t="str">
        <f t="shared" si="36"/>
        <v/>
      </c>
      <c r="H783" s="19" t="str">
        <f t="shared" si="37"/>
        <v/>
      </c>
    </row>
    <row r="784" spans="1:8" x14ac:dyDescent="0.25">
      <c r="A784" s="21" t="str">
        <f t="shared" si="38"/>
        <v/>
      </c>
      <c r="B784"/>
      <c r="C784"/>
      <c r="F784"/>
      <c r="G784" s="19" t="str">
        <f t="shared" si="36"/>
        <v/>
      </c>
      <c r="H784" s="19" t="str">
        <f t="shared" si="37"/>
        <v/>
      </c>
    </row>
    <row r="785" spans="1:8" x14ac:dyDescent="0.25">
      <c r="A785" s="21" t="str">
        <f t="shared" si="38"/>
        <v/>
      </c>
      <c r="B785"/>
      <c r="C785"/>
      <c r="F785"/>
      <c r="G785" s="19" t="str">
        <f t="shared" si="36"/>
        <v/>
      </c>
      <c r="H785" s="19" t="str">
        <f t="shared" si="37"/>
        <v/>
      </c>
    </row>
    <row r="786" spans="1:8" x14ac:dyDescent="0.25">
      <c r="A786" s="21" t="str">
        <f t="shared" si="38"/>
        <v/>
      </c>
      <c r="B786"/>
      <c r="C786"/>
      <c r="F786"/>
      <c r="G786" s="19" t="str">
        <f t="shared" si="36"/>
        <v/>
      </c>
      <c r="H786" s="19" t="str">
        <f t="shared" si="37"/>
        <v/>
      </c>
    </row>
    <row r="787" spans="1:8" x14ac:dyDescent="0.25">
      <c r="A787" s="21" t="str">
        <f t="shared" si="38"/>
        <v/>
      </c>
      <c r="B787"/>
      <c r="C787"/>
      <c r="F787"/>
      <c r="G787" s="19" t="str">
        <f t="shared" si="36"/>
        <v/>
      </c>
      <c r="H787" s="19" t="str">
        <f t="shared" si="37"/>
        <v/>
      </c>
    </row>
    <row r="788" spans="1:8" x14ac:dyDescent="0.25">
      <c r="A788" s="21" t="str">
        <f t="shared" si="38"/>
        <v/>
      </c>
      <c r="B788"/>
      <c r="C788"/>
      <c r="F788"/>
      <c r="G788" s="19" t="str">
        <f t="shared" si="36"/>
        <v/>
      </c>
      <c r="H788" s="19" t="str">
        <f t="shared" si="37"/>
        <v/>
      </c>
    </row>
    <row r="789" spans="1:8" x14ac:dyDescent="0.25">
      <c r="A789" s="21" t="str">
        <f t="shared" si="38"/>
        <v/>
      </c>
      <c r="B789"/>
      <c r="C789"/>
      <c r="F789"/>
      <c r="G789" s="19" t="str">
        <f t="shared" si="36"/>
        <v/>
      </c>
      <c r="H789" s="19" t="str">
        <f t="shared" si="37"/>
        <v/>
      </c>
    </row>
    <row r="790" spans="1:8" x14ac:dyDescent="0.25">
      <c r="A790" s="21" t="str">
        <f t="shared" si="38"/>
        <v/>
      </c>
      <c r="B790"/>
      <c r="C790"/>
      <c r="F790"/>
      <c r="G790" s="19" t="str">
        <f t="shared" si="36"/>
        <v/>
      </c>
      <c r="H790" s="19" t="str">
        <f t="shared" si="37"/>
        <v/>
      </c>
    </row>
    <row r="791" spans="1:8" x14ac:dyDescent="0.25">
      <c r="A791" s="21" t="str">
        <f t="shared" si="38"/>
        <v/>
      </c>
      <c r="B791"/>
      <c r="C791"/>
      <c r="F791"/>
      <c r="G791" s="19" t="str">
        <f t="shared" si="36"/>
        <v/>
      </c>
      <c r="H791" s="19" t="str">
        <f t="shared" si="37"/>
        <v/>
      </c>
    </row>
    <row r="792" spans="1:8" x14ac:dyDescent="0.25">
      <c r="A792" s="21" t="str">
        <f t="shared" si="38"/>
        <v/>
      </c>
      <c r="B792"/>
      <c r="C792"/>
      <c r="F792"/>
      <c r="G792" s="19" t="str">
        <f t="shared" si="36"/>
        <v/>
      </c>
      <c r="H792" s="19" t="str">
        <f t="shared" si="37"/>
        <v/>
      </c>
    </row>
    <row r="793" spans="1:8" x14ac:dyDescent="0.25">
      <c r="A793" s="21" t="str">
        <f t="shared" si="38"/>
        <v/>
      </c>
      <c r="B793"/>
      <c r="C793"/>
      <c r="F793"/>
      <c r="G793" s="19" t="str">
        <f t="shared" si="36"/>
        <v/>
      </c>
      <c r="H793" s="19" t="str">
        <f t="shared" si="37"/>
        <v/>
      </c>
    </row>
    <row r="794" spans="1:8" x14ac:dyDescent="0.25">
      <c r="A794" s="21" t="str">
        <f t="shared" si="38"/>
        <v/>
      </c>
      <c r="B794"/>
      <c r="C794"/>
      <c r="F794"/>
      <c r="G794" s="19" t="str">
        <f t="shared" si="36"/>
        <v/>
      </c>
      <c r="H794" s="19" t="str">
        <f t="shared" si="37"/>
        <v/>
      </c>
    </row>
    <row r="795" spans="1:8" x14ac:dyDescent="0.25">
      <c r="A795" s="21" t="str">
        <f t="shared" si="38"/>
        <v/>
      </c>
      <c r="B795"/>
      <c r="C795"/>
      <c r="F795"/>
      <c r="G795" s="19" t="str">
        <f t="shared" si="36"/>
        <v/>
      </c>
      <c r="H795" s="19" t="str">
        <f t="shared" si="37"/>
        <v/>
      </c>
    </row>
    <row r="796" spans="1:8" x14ac:dyDescent="0.25">
      <c r="A796" s="21" t="str">
        <f t="shared" si="38"/>
        <v/>
      </c>
      <c r="B796"/>
      <c r="C796"/>
      <c r="F796"/>
      <c r="G796" s="19" t="str">
        <f t="shared" si="36"/>
        <v/>
      </c>
      <c r="H796" s="19" t="str">
        <f t="shared" si="37"/>
        <v/>
      </c>
    </row>
    <row r="797" spans="1:8" x14ac:dyDescent="0.25">
      <c r="A797" s="21" t="str">
        <f t="shared" si="38"/>
        <v/>
      </c>
      <c r="B797"/>
      <c r="C797"/>
      <c r="F797"/>
      <c r="G797" s="19" t="str">
        <f t="shared" si="36"/>
        <v/>
      </c>
      <c r="H797" s="19" t="str">
        <f t="shared" si="37"/>
        <v/>
      </c>
    </row>
    <row r="798" spans="1:8" x14ac:dyDescent="0.25">
      <c r="A798" s="21" t="str">
        <f t="shared" si="38"/>
        <v/>
      </c>
      <c r="B798"/>
      <c r="C798"/>
      <c r="F798"/>
      <c r="G798" s="19" t="str">
        <f t="shared" si="36"/>
        <v/>
      </c>
      <c r="H798" s="19" t="str">
        <f t="shared" si="37"/>
        <v/>
      </c>
    </row>
    <row r="799" spans="1:8" x14ac:dyDescent="0.25">
      <c r="A799" s="21" t="str">
        <f t="shared" si="38"/>
        <v/>
      </c>
      <c r="B799"/>
      <c r="C799"/>
      <c r="F799"/>
      <c r="G799" s="19" t="str">
        <f t="shared" si="36"/>
        <v/>
      </c>
      <c r="H799" s="19" t="str">
        <f t="shared" si="37"/>
        <v/>
      </c>
    </row>
    <row r="800" spans="1:8" x14ac:dyDescent="0.25">
      <c r="A800" s="21" t="str">
        <f t="shared" si="38"/>
        <v/>
      </c>
      <c r="B800"/>
      <c r="C800"/>
      <c r="F800"/>
      <c r="G800" s="19" t="str">
        <f t="shared" si="36"/>
        <v/>
      </c>
      <c r="H800" s="19" t="str">
        <f t="shared" si="37"/>
        <v/>
      </c>
    </row>
    <row r="801" spans="1:8" x14ac:dyDescent="0.25">
      <c r="A801" s="21" t="str">
        <f t="shared" si="38"/>
        <v/>
      </c>
      <c r="B801"/>
      <c r="C801"/>
      <c r="F801"/>
      <c r="G801" s="19" t="str">
        <f t="shared" si="36"/>
        <v/>
      </c>
      <c r="H801" s="19" t="str">
        <f t="shared" si="37"/>
        <v/>
      </c>
    </row>
    <row r="802" spans="1:8" x14ac:dyDescent="0.25">
      <c r="A802" s="21" t="str">
        <f t="shared" si="38"/>
        <v/>
      </c>
      <c r="B802"/>
      <c r="C802"/>
      <c r="F802"/>
      <c r="G802" s="19" t="str">
        <f t="shared" si="36"/>
        <v/>
      </c>
      <c r="H802" s="19" t="str">
        <f t="shared" si="37"/>
        <v/>
      </c>
    </row>
    <row r="803" spans="1:8" x14ac:dyDescent="0.25">
      <c r="A803" s="21" t="str">
        <f t="shared" si="38"/>
        <v/>
      </c>
      <c r="B803"/>
      <c r="C803"/>
      <c r="F803"/>
      <c r="G803" s="19" t="str">
        <f t="shared" si="36"/>
        <v/>
      </c>
      <c r="H803" s="19" t="str">
        <f t="shared" si="37"/>
        <v/>
      </c>
    </row>
    <row r="804" spans="1:8" x14ac:dyDescent="0.25">
      <c r="A804" s="21" t="str">
        <f t="shared" si="38"/>
        <v/>
      </c>
      <c r="B804"/>
      <c r="C804"/>
      <c r="F804"/>
      <c r="G804" s="19" t="str">
        <f t="shared" si="36"/>
        <v/>
      </c>
      <c r="H804" s="19" t="str">
        <f t="shared" si="37"/>
        <v/>
      </c>
    </row>
    <row r="805" spans="1:8" x14ac:dyDescent="0.25">
      <c r="A805" s="21" t="str">
        <f t="shared" si="38"/>
        <v/>
      </c>
      <c r="B805"/>
      <c r="C805"/>
      <c r="F805"/>
      <c r="G805" s="19" t="str">
        <f t="shared" si="36"/>
        <v/>
      </c>
      <c r="H805" s="19" t="str">
        <f t="shared" si="37"/>
        <v/>
      </c>
    </row>
    <row r="806" spans="1:8" x14ac:dyDescent="0.25">
      <c r="A806" s="21" t="str">
        <f t="shared" si="38"/>
        <v/>
      </c>
      <c r="B806"/>
      <c r="C806"/>
      <c r="F806"/>
      <c r="G806" s="19" t="str">
        <f t="shared" si="36"/>
        <v/>
      </c>
      <c r="H806" s="19" t="str">
        <f t="shared" si="37"/>
        <v/>
      </c>
    </row>
    <row r="807" spans="1:8" x14ac:dyDescent="0.25">
      <c r="A807" s="21" t="str">
        <f t="shared" si="38"/>
        <v/>
      </c>
      <c r="B807"/>
      <c r="C807"/>
      <c r="F807"/>
      <c r="G807" s="19" t="str">
        <f t="shared" si="36"/>
        <v/>
      </c>
      <c r="H807" s="19" t="str">
        <f t="shared" si="37"/>
        <v/>
      </c>
    </row>
    <row r="808" spans="1:8" x14ac:dyDescent="0.25">
      <c r="A808" s="21" t="str">
        <f t="shared" si="38"/>
        <v/>
      </c>
      <c r="B808"/>
      <c r="C808"/>
      <c r="F808"/>
      <c r="G808" s="19" t="str">
        <f t="shared" si="36"/>
        <v/>
      </c>
      <c r="H808" s="19" t="str">
        <f t="shared" si="37"/>
        <v/>
      </c>
    </row>
    <row r="809" spans="1:8" x14ac:dyDescent="0.25">
      <c r="A809" s="21" t="str">
        <f t="shared" si="38"/>
        <v/>
      </c>
      <c r="B809"/>
      <c r="C809"/>
      <c r="F809"/>
      <c r="G809" s="19" t="str">
        <f t="shared" si="36"/>
        <v/>
      </c>
      <c r="H809" s="19" t="str">
        <f t="shared" si="37"/>
        <v/>
      </c>
    </row>
    <row r="810" spans="1:8" x14ac:dyDescent="0.25">
      <c r="A810" s="21" t="str">
        <f t="shared" si="38"/>
        <v/>
      </c>
      <c r="B810"/>
      <c r="C810"/>
      <c r="F810"/>
      <c r="G810" s="19" t="str">
        <f t="shared" si="36"/>
        <v/>
      </c>
      <c r="H810" s="19" t="str">
        <f t="shared" si="37"/>
        <v/>
      </c>
    </row>
    <row r="811" spans="1:8" x14ac:dyDescent="0.25">
      <c r="A811" s="21" t="str">
        <f t="shared" si="38"/>
        <v/>
      </c>
      <c r="B811"/>
      <c r="C811"/>
      <c r="F811"/>
      <c r="G811" s="19" t="str">
        <f t="shared" si="36"/>
        <v/>
      </c>
      <c r="H811" s="19" t="str">
        <f t="shared" si="37"/>
        <v/>
      </c>
    </row>
    <row r="812" spans="1:8" x14ac:dyDescent="0.25">
      <c r="A812" s="21" t="str">
        <f t="shared" si="38"/>
        <v/>
      </c>
      <c r="B812"/>
      <c r="C812"/>
      <c r="F812"/>
      <c r="G812" s="19" t="str">
        <f t="shared" si="36"/>
        <v/>
      </c>
      <c r="H812" s="19" t="str">
        <f t="shared" si="37"/>
        <v/>
      </c>
    </row>
    <row r="813" spans="1:8" x14ac:dyDescent="0.25">
      <c r="A813" s="21" t="str">
        <f t="shared" si="38"/>
        <v/>
      </c>
      <c r="B813"/>
      <c r="C813"/>
      <c r="F813"/>
      <c r="G813" s="19" t="str">
        <f t="shared" si="36"/>
        <v/>
      </c>
      <c r="H813" s="19" t="str">
        <f t="shared" si="37"/>
        <v/>
      </c>
    </row>
    <row r="814" spans="1:8" x14ac:dyDescent="0.25">
      <c r="A814" s="21" t="str">
        <f t="shared" si="38"/>
        <v/>
      </c>
      <c r="B814"/>
      <c r="C814"/>
      <c r="F814"/>
      <c r="G814" s="19" t="str">
        <f t="shared" si="36"/>
        <v/>
      </c>
      <c r="H814" s="19" t="str">
        <f t="shared" si="37"/>
        <v/>
      </c>
    </row>
    <row r="815" spans="1:8" x14ac:dyDescent="0.25">
      <c r="A815" s="21" t="str">
        <f t="shared" si="38"/>
        <v/>
      </c>
      <c r="B815"/>
      <c r="C815"/>
      <c r="F815"/>
      <c r="G815" s="19" t="str">
        <f t="shared" si="36"/>
        <v/>
      </c>
      <c r="H815" s="19" t="str">
        <f t="shared" si="37"/>
        <v/>
      </c>
    </row>
    <row r="816" spans="1:8" x14ac:dyDescent="0.25">
      <c r="A816" s="21" t="str">
        <f t="shared" si="38"/>
        <v/>
      </c>
      <c r="B816"/>
      <c r="C816"/>
      <c r="F816"/>
      <c r="G816" s="19" t="str">
        <f t="shared" si="36"/>
        <v/>
      </c>
      <c r="H816" s="19" t="str">
        <f t="shared" si="37"/>
        <v/>
      </c>
    </row>
    <row r="817" spans="1:8" x14ac:dyDescent="0.25">
      <c r="A817" s="21" t="str">
        <f t="shared" si="38"/>
        <v/>
      </c>
      <c r="B817"/>
      <c r="C817"/>
      <c r="F817"/>
      <c r="G817" s="19" t="str">
        <f t="shared" si="36"/>
        <v/>
      </c>
      <c r="H817" s="19" t="str">
        <f t="shared" si="37"/>
        <v/>
      </c>
    </row>
    <row r="818" spans="1:8" x14ac:dyDescent="0.25">
      <c r="A818" s="21" t="str">
        <f t="shared" si="38"/>
        <v/>
      </c>
      <c r="B818"/>
      <c r="C818"/>
      <c r="F818"/>
      <c r="G818" s="19" t="str">
        <f t="shared" si="36"/>
        <v/>
      </c>
      <c r="H818" s="19" t="str">
        <f t="shared" si="37"/>
        <v/>
      </c>
    </row>
    <row r="819" spans="1:8" x14ac:dyDescent="0.25">
      <c r="A819" s="21" t="str">
        <f t="shared" si="38"/>
        <v/>
      </c>
      <c r="B819"/>
      <c r="C819"/>
      <c r="F819"/>
      <c r="G819" s="19" t="str">
        <f t="shared" si="36"/>
        <v/>
      </c>
      <c r="H819" s="19" t="str">
        <f t="shared" si="37"/>
        <v/>
      </c>
    </row>
    <row r="820" spans="1:8" x14ac:dyDescent="0.25">
      <c r="A820" s="21" t="str">
        <f t="shared" si="38"/>
        <v/>
      </c>
      <c r="B820"/>
      <c r="C820"/>
      <c r="F820"/>
      <c r="G820" s="19" t="str">
        <f t="shared" si="36"/>
        <v/>
      </c>
      <c r="H820" s="19" t="str">
        <f t="shared" si="37"/>
        <v/>
      </c>
    </row>
    <row r="821" spans="1:8" x14ac:dyDescent="0.25">
      <c r="A821" s="21" t="str">
        <f t="shared" si="38"/>
        <v/>
      </c>
      <c r="B821"/>
      <c r="C821"/>
      <c r="F821"/>
      <c r="G821" s="19" t="str">
        <f t="shared" si="36"/>
        <v/>
      </c>
      <c r="H821" s="19" t="str">
        <f t="shared" si="37"/>
        <v/>
      </c>
    </row>
    <row r="822" spans="1:8" x14ac:dyDescent="0.25">
      <c r="A822" s="21" t="str">
        <f t="shared" si="38"/>
        <v/>
      </c>
      <c r="B822"/>
      <c r="C822"/>
      <c r="F822"/>
      <c r="G822" s="19" t="str">
        <f t="shared" si="36"/>
        <v/>
      </c>
      <c r="H822" s="19" t="str">
        <f t="shared" si="37"/>
        <v/>
      </c>
    </row>
    <row r="823" spans="1:8" x14ac:dyDescent="0.25">
      <c r="A823" s="21" t="str">
        <f t="shared" si="38"/>
        <v/>
      </c>
      <c r="B823"/>
      <c r="C823"/>
      <c r="F823"/>
      <c r="G823" s="19" t="str">
        <f t="shared" si="36"/>
        <v/>
      </c>
      <c r="H823" s="19" t="str">
        <f t="shared" si="37"/>
        <v/>
      </c>
    </row>
    <row r="824" spans="1:8" x14ac:dyDescent="0.25">
      <c r="A824" s="21" t="str">
        <f t="shared" si="38"/>
        <v/>
      </c>
      <c r="B824"/>
      <c r="C824"/>
      <c r="F824"/>
      <c r="G824" s="19" t="str">
        <f t="shared" si="36"/>
        <v/>
      </c>
      <c r="H824" s="19" t="str">
        <f t="shared" si="37"/>
        <v/>
      </c>
    </row>
    <row r="825" spans="1:8" x14ac:dyDescent="0.25">
      <c r="A825" s="21" t="str">
        <f t="shared" si="38"/>
        <v/>
      </c>
      <c r="B825"/>
      <c r="C825"/>
      <c r="F825"/>
      <c r="G825" s="19" t="str">
        <f t="shared" si="36"/>
        <v/>
      </c>
      <c r="H825" s="19" t="str">
        <f t="shared" si="37"/>
        <v/>
      </c>
    </row>
    <row r="826" spans="1:8" x14ac:dyDescent="0.25">
      <c r="A826" s="21" t="str">
        <f t="shared" si="38"/>
        <v/>
      </c>
      <c r="B826"/>
      <c r="C826"/>
      <c r="F826"/>
      <c r="G826" s="19" t="str">
        <f t="shared" si="36"/>
        <v/>
      </c>
      <c r="H826" s="19" t="str">
        <f t="shared" si="37"/>
        <v/>
      </c>
    </row>
    <row r="827" spans="1:8" x14ac:dyDescent="0.25">
      <c r="A827" s="21" t="str">
        <f t="shared" si="38"/>
        <v/>
      </c>
      <c r="B827"/>
      <c r="C827"/>
      <c r="F827"/>
      <c r="G827" s="19" t="str">
        <f t="shared" si="36"/>
        <v/>
      </c>
      <c r="H827" s="19" t="str">
        <f t="shared" si="37"/>
        <v/>
      </c>
    </row>
    <row r="828" spans="1:8" x14ac:dyDescent="0.25">
      <c r="A828" s="21" t="str">
        <f t="shared" si="38"/>
        <v/>
      </c>
      <c r="B828"/>
      <c r="C828"/>
      <c r="F828"/>
      <c r="G828" s="19" t="str">
        <f t="shared" si="36"/>
        <v/>
      </c>
      <c r="H828" s="19" t="str">
        <f t="shared" si="37"/>
        <v/>
      </c>
    </row>
    <row r="829" spans="1:8" x14ac:dyDescent="0.25">
      <c r="A829" s="21" t="str">
        <f t="shared" si="38"/>
        <v/>
      </c>
      <c r="B829"/>
      <c r="C829"/>
      <c r="F829"/>
      <c r="G829" s="19" t="str">
        <f t="shared" si="36"/>
        <v/>
      </c>
      <c r="H829" s="19" t="str">
        <f t="shared" si="37"/>
        <v/>
      </c>
    </row>
    <row r="830" spans="1:8" x14ac:dyDescent="0.25">
      <c r="A830" s="21" t="str">
        <f t="shared" si="38"/>
        <v/>
      </c>
      <c r="B830"/>
      <c r="C830"/>
      <c r="F830"/>
      <c r="G830" s="19" t="str">
        <f t="shared" si="36"/>
        <v/>
      </c>
      <c r="H830" s="19" t="str">
        <f t="shared" si="37"/>
        <v/>
      </c>
    </row>
    <row r="831" spans="1:8" x14ac:dyDescent="0.25">
      <c r="A831" s="21" t="str">
        <f t="shared" si="38"/>
        <v/>
      </c>
      <c r="B831"/>
      <c r="C831"/>
      <c r="F831"/>
      <c r="G831" s="19" t="str">
        <f t="shared" si="36"/>
        <v/>
      </c>
      <c r="H831" s="19" t="str">
        <f t="shared" si="37"/>
        <v/>
      </c>
    </row>
    <row r="832" spans="1:8" x14ac:dyDescent="0.25">
      <c r="A832" s="21" t="str">
        <f t="shared" si="38"/>
        <v/>
      </c>
      <c r="B832"/>
      <c r="C832"/>
      <c r="F832"/>
      <c r="G832" s="19" t="str">
        <f t="shared" si="36"/>
        <v/>
      </c>
      <c r="H832" s="19" t="str">
        <f t="shared" si="37"/>
        <v/>
      </c>
    </row>
    <row r="833" spans="1:8" x14ac:dyDescent="0.25">
      <c r="A833" s="21" t="str">
        <f t="shared" si="38"/>
        <v/>
      </c>
      <c r="B833"/>
      <c r="C833"/>
      <c r="F833"/>
      <c r="G833" s="19" t="str">
        <f t="shared" si="36"/>
        <v/>
      </c>
      <c r="H833" s="19" t="str">
        <f t="shared" si="37"/>
        <v/>
      </c>
    </row>
    <row r="834" spans="1:8" x14ac:dyDescent="0.25">
      <c r="A834" s="21" t="str">
        <f t="shared" si="38"/>
        <v/>
      </c>
      <c r="B834"/>
      <c r="C834"/>
      <c r="F834"/>
      <c r="G834" s="19" t="str">
        <f t="shared" si="36"/>
        <v/>
      </c>
      <c r="H834" s="19" t="str">
        <f t="shared" si="37"/>
        <v/>
      </c>
    </row>
    <row r="835" spans="1:8" x14ac:dyDescent="0.25">
      <c r="A835" s="21" t="str">
        <f t="shared" si="38"/>
        <v/>
      </c>
      <c r="B835"/>
      <c r="C835"/>
      <c r="F835"/>
      <c r="G835" s="19" t="str">
        <f t="shared" si="36"/>
        <v/>
      </c>
      <c r="H835" s="19" t="str">
        <f t="shared" si="37"/>
        <v/>
      </c>
    </row>
    <row r="836" spans="1:8" x14ac:dyDescent="0.25">
      <c r="A836" s="21" t="str">
        <f t="shared" si="38"/>
        <v/>
      </c>
      <c r="B836"/>
      <c r="C836"/>
      <c r="F836"/>
      <c r="G836" s="19" t="str">
        <f t="shared" ref="G836:G899" si="39">IFERROR(VLOOKUP(F836,$A$3:$C$1002,2,FALSE),"")</f>
        <v/>
      </c>
      <c r="H836" s="19" t="str">
        <f t="shared" ref="H836:H899" si="40">IFERROR(VLOOKUP(F836,$A$3:$C$1002,3,FALSE),"")</f>
        <v/>
      </c>
    </row>
    <row r="837" spans="1:8" x14ac:dyDescent="0.25">
      <c r="A837" s="21" t="str">
        <f t="shared" ref="A837:A900" si="41">IF(LEN(B837)&gt;0,RANK(C837,C$3:C$1002,0),"")</f>
        <v/>
      </c>
      <c r="B837"/>
      <c r="C837"/>
      <c r="F837"/>
      <c r="G837" s="19" t="str">
        <f t="shared" si="39"/>
        <v/>
      </c>
      <c r="H837" s="19" t="str">
        <f t="shared" si="40"/>
        <v/>
      </c>
    </row>
    <row r="838" spans="1:8" x14ac:dyDescent="0.25">
      <c r="A838" s="21" t="str">
        <f t="shared" si="41"/>
        <v/>
      </c>
      <c r="B838"/>
      <c r="C838"/>
      <c r="F838"/>
      <c r="G838" s="19" t="str">
        <f t="shared" si="39"/>
        <v/>
      </c>
      <c r="H838" s="19" t="str">
        <f t="shared" si="40"/>
        <v/>
      </c>
    </row>
    <row r="839" spans="1:8" x14ac:dyDescent="0.25">
      <c r="A839" s="21" t="str">
        <f t="shared" si="41"/>
        <v/>
      </c>
      <c r="B839"/>
      <c r="C839"/>
      <c r="F839"/>
      <c r="G839" s="19" t="str">
        <f t="shared" si="39"/>
        <v/>
      </c>
      <c r="H839" s="19" t="str">
        <f t="shared" si="40"/>
        <v/>
      </c>
    </row>
    <row r="840" spans="1:8" x14ac:dyDescent="0.25">
      <c r="A840" s="21" t="str">
        <f t="shared" si="41"/>
        <v/>
      </c>
      <c r="B840"/>
      <c r="C840"/>
      <c r="F840"/>
      <c r="G840" s="19" t="str">
        <f t="shared" si="39"/>
        <v/>
      </c>
      <c r="H840" s="19" t="str">
        <f t="shared" si="40"/>
        <v/>
      </c>
    </row>
    <row r="841" spans="1:8" x14ac:dyDescent="0.25">
      <c r="A841" s="21" t="str">
        <f t="shared" si="41"/>
        <v/>
      </c>
      <c r="B841"/>
      <c r="C841"/>
      <c r="F841"/>
      <c r="G841" s="19" t="str">
        <f t="shared" si="39"/>
        <v/>
      </c>
      <c r="H841" s="19" t="str">
        <f t="shared" si="40"/>
        <v/>
      </c>
    </row>
    <row r="842" spans="1:8" x14ac:dyDescent="0.25">
      <c r="A842" s="21" t="str">
        <f t="shared" si="41"/>
        <v/>
      </c>
      <c r="B842"/>
      <c r="C842"/>
      <c r="F842"/>
      <c r="G842" s="19" t="str">
        <f t="shared" si="39"/>
        <v/>
      </c>
      <c r="H842" s="19" t="str">
        <f t="shared" si="40"/>
        <v/>
      </c>
    </row>
    <row r="843" spans="1:8" x14ac:dyDescent="0.25">
      <c r="A843" s="21" t="str">
        <f t="shared" si="41"/>
        <v/>
      </c>
      <c r="B843"/>
      <c r="C843"/>
      <c r="F843"/>
      <c r="G843" s="19" t="str">
        <f t="shared" si="39"/>
        <v/>
      </c>
      <c r="H843" s="19" t="str">
        <f t="shared" si="40"/>
        <v/>
      </c>
    </row>
    <row r="844" spans="1:8" x14ac:dyDescent="0.25">
      <c r="A844" s="21" t="str">
        <f t="shared" si="41"/>
        <v/>
      </c>
      <c r="B844"/>
      <c r="C844"/>
      <c r="F844"/>
      <c r="G844" s="19" t="str">
        <f t="shared" si="39"/>
        <v/>
      </c>
      <c r="H844" s="19" t="str">
        <f t="shared" si="40"/>
        <v/>
      </c>
    </row>
    <row r="845" spans="1:8" x14ac:dyDescent="0.25">
      <c r="A845" s="21" t="str">
        <f t="shared" si="41"/>
        <v/>
      </c>
      <c r="B845"/>
      <c r="C845"/>
      <c r="F845"/>
      <c r="G845" s="19" t="str">
        <f t="shared" si="39"/>
        <v/>
      </c>
      <c r="H845" s="19" t="str">
        <f t="shared" si="40"/>
        <v/>
      </c>
    </row>
    <row r="846" spans="1:8" x14ac:dyDescent="0.25">
      <c r="A846" s="21" t="str">
        <f t="shared" si="41"/>
        <v/>
      </c>
      <c r="B846"/>
      <c r="C846"/>
      <c r="F846"/>
      <c r="G846" s="19" t="str">
        <f t="shared" si="39"/>
        <v/>
      </c>
      <c r="H846" s="19" t="str">
        <f t="shared" si="40"/>
        <v/>
      </c>
    </row>
    <row r="847" spans="1:8" x14ac:dyDescent="0.25">
      <c r="A847" s="21" t="str">
        <f t="shared" si="41"/>
        <v/>
      </c>
      <c r="B847"/>
      <c r="C847"/>
      <c r="F847"/>
      <c r="G847" s="19" t="str">
        <f t="shared" si="39"/>
        <v/>
      </c>
      <c r="H847" s="19" t="str">
        <f t="shared" si="40"/>
        <v/>
      </c>
    </row>
    <row r="848" spans="1:8" x14ac:dyDescent="0.25">
      <c r="A848" s="21" t="str">
        <f t="shared" si="41"/>
        <v/>
      </c>
      <c r="B848"/>
      <c r="C848"/>
      <c r="F848"/>
      <c r="G848" s="19" t="str">
        <f t="shared" si="39"/>
        <v/>
      </c>
      <c r="H848" s="19" t="str">
        <f t="shared" si="40"/>
        <v/>
      </c>
    </row>
    <row r="849" spans="1:8" x14ac:dyDescent="0.25">
      <c r="A849" s="21" t="str">
        <f t="shared" si="41"/>
        <v/>
      </c>
      <c r="B849"/>
      <c r="C849"/>
      <c r="F849"/>
      <c r="G849" s="19" t="str">
        <f t="shared" si="39"/>
        <v/>
      </c>
      <c r="H849" s="19" t="str">
        <f t="shared" si="40"/>
        <v/>
      </c>
    </row>
    <row r="850" spans="1:8" x14ac:dyDescent="0.25">
      <c r="A850" s="21" t="str">
        <f t="shared" si="41"/>
        <v/>
      </c>
      <c r="B850"/>
      <c r="C850"/>
      <c r="F850"/>
      <c r="G850" s="19" t="str">
        <f t="shared" si="39"/>
        <v/>
      </c>
      <c r="H850" s="19" t="str">
        <f t="shared" si="40"/>
        <v/>
      </c>
    </row>
    <row r="851" spans="1:8" x14ac:dyDescent="0.25">
      <c r="A851" s="21" t="str">
        <f t="shared" si="41"/>
        <v/>
      </c>
      <c r="B851"/>
      <c r="C851"/>
      <c r="F851"/>
      <c r="G851" s="19" t="str">
        <f t="shared" si="39"/>
        <v/>
      </c>
      <c r="H851" s="19" t="str">
        <f t="shared" si="40"/>
        <v/>
      </c>
    </row>
    <row r="852" spans="1:8" x14ac:dyDescent="0.25">
      <c r="A852" s="21" t="str">
        <f t="shared" si="41"/>
        <v/>
      </c>
      <c r="B852"/>
      <c r="C852"/>
      <c r="F852"/>
      <c r="G852" s="19" t="str">
        <f t="shared" si="39"/>
        <v/>
      </c>
      <c r="H852" s="19" t="str">
        <f t="shared" si="40"/>
        <v/>
      </c>
    </row>
    <row r="853" spans="1:8" x14ac:dyDescent="0.25">
      <c r="A853" s="21" t="str">
        <f t="shared" si="41"/>
        <v/>
      </c>
      <c r="B853"/>
      <c r="C853"/>
      <c r="F853"/>
      <c r="G853" s="19" t="str">
        <f t="shared" si="39"/>
        <v/>
      </c>
      <c r="H853" s="19" t="str">
        <f t="shared" si="40"/>
        <v/>
      </c>
    </row>
    <row r="854" spans="1:8" x14ac:dyDescent="0.25">
      <c r="A854" s="21" t="str">
        <f t="shared" si="41"/>
        <v/>
      </c>
      <c r="B854"/>
      <c r="C854"/>
      <c r="F854"/>
      <c r="G854" s="19" t="str">
        <f t="shared" si="39"/>
        <v/>
      </c>
      <c r="H854" s="19" t="str">
        <f t="shared" si="40"/>
        <v/>
      </c>
    </row>
    <row r="855" spans="1:8" x14ac:dyDescent="0.25">
      <c r="A855" s="21" t="str">
        <f t="shared" si="41"/>
        <v/>
      </c>
      <c r="B855"/>
      <c r="C855"/>
      <c r="F855"/>
      <c r="G855" s="19" t="str">
        <f t="shared" si="39"/>
        <v/>
      </c>
      <c r="H855" s="19" t="str">
        <f t="shared" si="40"/>
        <v/>
      </c>
    </row>
    <row r="856" spans="1:8" x14ac:dyDescent="0.25">
      <c r="A856" s="21" t="str">
        <f t="shared" si="41"/>
        <v/>
      </c>
      <c r="B856"/>
      <c r="C856"/>
      <c r="F856"/>
      <c r="G856" s="19" t="str">
        <f t="shared" si="39"/>
        <v/>
      </c>
      <c r="H856" s="19" t="str">
        <f t="shared" si="40"/>
        <v/>
      </c>
    </row>
    <row r="857" spans="1:8" x14ac:dyDescent="0.25">
      <c r="A857" s="21" t="str">
        <f t="shared" si="41"/>
        <v/>
      </c>
      <c r="B857"/>
      <c r="C857"/>
      <c r="F857"/>
      <c r="G857" s="19" t="str">
        <f t="shared" si="39"/>
        <v/>
      </c>
      <c r="H857" s="19" t="str">
        <f t="shared" si="40"/>
        <v/>
      </c>
    </row>
    <row r="858" spans="1:8" x14ac:dyDescent="0.25">
      <c r="A858" s="21" t="str">
        <f t="shared" si="41"/>
        <v/>
      </c>
      <c r="B858"/>
      <c r="C858"/>
      <c r="F858"/>
      <c r="G858" s="19" t="str">
        <f t="shared" si="39"/>
        <v/>
      </c>
      <c r="H858" s="19" t="str">
        <f t="shared" si="40"/>
        <v/>
      </c>
    </row>
    <row r="859" spans="1:8" x14ac:dyDescent="0.25">
      <c r="A859" s="21" t="str">
        <f t="shared" si="41"/>
        <v/>
      </c>
      <c r="B859"/>
      <c r="C859"/>
      <c r="F859"/>
      <c r="G859" s="19" t="str">
        <f t="shared" si="39"/>
        <v/>
      </c>
      <c r="H859" s="19" t="str">
        <f t="shared" si="40"/>
        <v/>
      </c>
    </row>
    <row r="860" spans="1:8" x14ac:dyDescent="0.25">
      <c r="A860" s="21" t="str">
        <f t="shared" si="41"/>
        <v/>
      </c>
      <c r="B860"/>
      <c r="C860"/>
      <c r="F860"/>
      <c r="G860" s="19" t="str">
        <f t="shared" si="39"/>
        <v/>
      </c>
      <c r="H860" s="19" t="str">
        <f t="shared" si="40"/>
        <v/>
      </c>
    </row>
    <row r="861" spans="1:8" x14ac:dyDescent="0.25">
      <c r="A861" s="21" t="str">
        <f t="shared" si="41"/>
        <v/>
      </c>
      <c r="B861"/>
      <c r="C861"/>
      <c r="F861"/>
      <c r="G861" s="19" t="str">
        <f t="shared" si="39"/>
        <v/>
      </c>
      <c r="H861" s="19" t="str">
        <f t="shared" si="40"/>
        <v/>
      </c>
    </row>
    <row r="862" spans="1:8" x14ac:dyDescent="0.25">
      <c r="A862" s="21" t="str">
        <f t="shared" si="41"/>
        <v/>
      </c>
      <c r="B862"/>
      <c r="C862"/>
      <c r="F862"/>
      <c r="G862" s="19" t="str">
        <f t="shared" si="39"/>
        <v/>
      </c>
      <c r="H862" s="19" t="str">
        <f t="shared" si="40"/>
        <v/>
      </c>
    </row>
    <row r="863" spans="1:8" x14ac:dyDescent="0.25">
      <c r="A863" s="21" t="str">
        <f t="shared" si="41"/>
        <v/>
      </c>
      <c r="B863"/>
      <c r="C863"/>
      <c r="F863"/>
      <c r="G863" s="19" t="str">
        <f t="shared" si="39"/>
        <v/>
      </c>
      <c r="H863" s="19" t="str">
        <f t="shared" si="40"/>
        <v/>
      </c>
    </row>
    <row r="864" spans="1:8" x14ac:dyDescent="0.25">
      <c r="A864" s="21" t="str">
        <f t="shared" si="41"/>
        <v/>
      </c>
      <c r="B864"/>
      <c r="C864"/>
      <c r="F864"/>
      <c r="G864" s="19" t="str">
        <f t="shared" si="39"/>
        <v/>
      </c>
      <c r="H864" s="19" t="str">
        <f t="shared" si="40"/>
        <v/>
      </c>
    </row>
    <row r="865" spans="1:8" x14ac:dyDescent="0.25">
      <c r="A865" s="21" t="str">
        <f t="shared" si="41"/>
        <v/>
      </c>
      <c r="B865"/>
      <c r="C865"/>
      <c r="F865"/>
      <c r="G865" s="19" t="str">
        <f t="shared" si="39"/>
        <v/>
      </c>
      <c r="H865" s="19" t="str">
        <f t="shared" si="40"/>
        <v/>
      </c>
    </row>
    <row r="866" spans="1:8" x14ac:dyDescent="0.25">
      <c r="A866" s="21" t="str">
        <f t="shared" si="41"/>
        <v/>
      </c>
      <c r="B866"/>
      <c r="C866"/>
      <c r="F866"/>
      <c r="G866" s="19" t="str">
        <f t="shared" si="39"/>
        <v/>
      </c>
      <c r="H866" s="19" t="str">
        <f t="shared" si="40"/>
        <v/>
      </c>
    </row>
    <row r="867" spans="1:8" x14ac:dyDescent="0.25">
      <c r="A867" s="21" t="str">
        <f t="shared" si="41"/>
        <v/>
      </c>
      <c r="B867"/>
      <c r="C867"/>
      <c r="F867"/>
      <c r="G867" s="19" t="str">
        <f t="shared" si="39"/>
        <v/>
      </c>
      <c r="H867" s="19" t="str">
        <f t="shared" si="40"/>
        <v/>
      </c>
    </row>
    <row r="868" spans="1:8" x14ac:dyDescent="0.25">
      <c r="A868" s="21" t="str">
        <f t="shared" si="41"/>
        <v/>
      </c>
      <c r="B868"/>
      <c r="C868"/>
      <c r="F868"/>
      <c r="G868" s="19" t="str">
        <f t="shared" si="39"/>
        <v/>
      </c>
      <c r="H868" s="19" t="str">
        <f t="shared" si="40"/>
        <v/>
      </c>
    </row>
    <row r="869" spans="1:8" x14ac:dyDescent="0.25">
      <c r="A869" s="21" t="str">
        <f t="shared" si="41"/>
        <v/>
      </c>
      <c r="B869"/>
      <c r="C869"/>
      <c r="F869"/>
      <c r="G869" s="19" t="str">
        <f t="shared" si="39"/>
        <v/>
      </c>
      <c r="H869" s="19" t="str">
        <f t="shared" si="40"/>
        <v/>
      </c>
    </row>
    <row r="870" spans="1:8" x14ac:dyDescent="0.25">
      <c r="A870" s="21" t="str">
        <f t="shared" si="41"/>
        <v/>
      </c>
      <c r="B870"/>
      <c r="C870"/>
      <c r="F870"/>
      <c r="G870" s="19" t="str">
        <f t="shared" si="39"/>
        <v/>
      </c>
      <c r="H870" s="19" t="str">
        <f t="shared" si="40"/>
        <v/>
      </c>
    </row>
    <row r="871" spans="1:8" x14ac:dyDescent="0.25">
      <c r="A871" s="21" t="str">
        <f t="shared" si="41"/>
        <v/>
      </c>
      <c r="B871"/>
      <c r="C871"/>
      <c r="F871"/>
      <c r="G871" s="19" t="str">
        <f t="shared" si="39"/>
        <v/>
      </c>
      <c r="H871" s="19" t="str">
        <f t="shared" si="40"/>
        <v/>
      </c>
    </row>
    <row r="872" spans="1:8" x14ac:dyDescent="0.25">
      <c r="A872" s="21" t="str">
        <f t="shared" si="41"/>
        <v/>
      </c>
      <c r="B872"/>
      <c r="C872"/>
      <c r="F872"/>
      <c r="G872" s="19" t="str">
        <f t="shared" si="39"/>
        <v/>
      </c>
      <c r="H872" s="19" t="str">
        <f t="shared" si="40"/>
        <v/>
      </c>
    </row>
    <row r="873" spans="1:8" x14ac:dyDescent="0.25">
      <c r="A873" s="21" t="str">
        <f t="shared" si="41"/>
        <v/>
      </c>
      <c r="B873"/>
      <c r="C873"/>
      <c r="F873"/>
      <c r="G873" s="19" t="str">
        <f t="shared" si="39"/>
        <v/>
      </c>
      <c r="H873" s="19" t="str">
        <f t="shared" si="40"/>
        <v/>
      </c>
    </row>
    <row r="874" spans="1:8" x14ac:dyDescent="0.25">
      <c r="A874" s="21" t="str">
        <f t="shared" si="41"/>
        <v/>
      </c>
      <c r="B874"/>
      <c r="C874"/>
      <c r="F874"/>
      <c r="G874" s="19" t="str">
        <f t="shared" si="39"/>
        <v/>
      </c>
      <c r="H874" s="19" t="str">
        <f t="shared" si="40"/>
        <v/>
      </c>
    </row>
    <row r="875" spans="1:8" x14ac:dyDescent="0.25">
      <c r="A875" s="21" t="str">
        <f t="shared" si="41"/>
        <v/>
      </c>
      <c r="B875"/>
      <c r="C875"/>
      <c r="F875"/>
      <c r="G875" s="19" t="str">
        <f t="shared" si="39"/>
        <v/>
      </c>
      <c r="H875" s="19" t="str">
        <f t="shared" si="40"/>
        <v/>
      </c>
    </row>
    <row r="876" spans="1:8" x14ac:dyDescent="0.25">
      <c r="A876" s="21" t="str">
        <f t="shared" si="41"/>
        <v/>
      </c>
      <c r="B876"/>
      <c r="C876"/>
      <c r="F876"/>
      <c r="G876" s="19" t="str">
        <f t="shared" si="39"/>
        <v/>
      </c>
      <c r="H876" s="19" t="str">
        <f t="shared" si="40"/>
        <v/>
      </c>
    </row>
    <row r="877" spans="1:8" x14ac:dyDescent="0.25">
      <c r="A877" s="21" t="str">
        <f t="shared" si="41"/>
        <v/>
      </c>
      <c r="B877"/>
      <c r="C877"/>
      <c r="F877"/>
      <c r="G877" s="19" t="str">
        <f t="shared" si="39"/>
        <v/>
      </c>
      <c r="H877" s="19" t="str">
        <f t="shared" si="40"/>
        <v/>
      </c>
    </row>
    <row r="878" spans="1:8" x14ac:dyDescent="0.25">
      <c r="A878" s="21" t="str">
        <f t="shared" si="41"/>
        <v/>
      </c>
      <c r="B878"/>
      <c r="C878"/>
      <c r="F878"/>
      <c r="G878" s="19" t="str">
        <f t="shared" si="39"/>
        <v/>
      </c>
      <c r="H878" s="19" t="str">
        <f t="shared" si="40"/>
        <v/>
      </c>
    </row>
    <row r="879" spans="1:8" x14ac:dyDescent="0.25">
      <c r="A879" s="21" t="str">
        <f t="shared" si="41"/>
        <v/>
      </c>
      <c r="B879"/>
      <c r="C879"/>
      <c r="F879"/>
      <c r="G879" s="19" t="str">
        <f t="shared" si="39"/>
        <v/>
      </c>
      <c r="H879" s="19" t="str">
        <f t="shared" si="40"/>
        <v/>
      </c>
    </row>
    <row r="880" spans="1:8" x14ac:dyDescent="0.25">
      <c r="A880" s="21" t="str">
        <f t="shared" si="41"/>
        <v/>
      </c>
      <c r="B880"/>
      <c r="C880"/>
      <c r="F880"/>
      <c r="G880" s="19" t="str">
        <f t="shared" si="39"/>
        <v/>
      </c>
      <c r="H880" s="19" t="str">
        <f t="shared" si="40"/>
        <v/>
      </c>
    </row>
    <row r="881" spans="1:8" x14ac:dyDescent="0.25">
      <c r="A881" s="21" t="str">
        <f t="shared" si="41"/>
        <v/>
      </c>
      <c r="B881"/>
      <c r="C881"/>
      <c r="F881"/>
      <c r="G881" s="19" t="str">
        <f t="shared" si="39"/>
        <v/>
      </c>
      <c r="H881" s="19" t="str">
        <f t="shared" si="40"/>
        <v/>
      </c>
    </row>
    <row r="882" spans="1:8" x14ac:dyDescent="0.25">
      <c r="A882" s="21" t="str">
        <f t="shared" si="41"/>
        <v/>
      </c>
      <c r="B882"/>
      <c r="C882"/>
      <c r="F882"/>
      <c r="G882" s="19" t="str">
        <f t="shared" si="39"/>
        <v/>
      </c>
      <c r="H882" s="19" t="str">
        <f t="shared" si="40"/>
        <v/>
      </c>
    </row>
    <row r="883" spans="1:8" x14ac:dyDescent="0.25">
      <c r="A883" s="21" t="str">
        <f t="shared" si="41"/>
        <v/>
      </c>
      <c r="B883"/>
      <c r="C883"/>
      <c r="F883"/>
      <c r="G883" s="19" t="str">
        <f t="shared" si="39"/>
        <v/>
      </c>
      <c r="H883" s="19" t="str">
        <f t="shared" si="40"/>
        <v/>
      </c>
    </row>
    <row r="884" spans="1:8" x14ac:dyDescent="0.25">
      <c r="A884" s="21" t="str">
        <f t="shared" si="41"/>
        <v/>
      </c>
      <c r="B884"/>
      <c r="C884"/>
      <c r="F884"/>
      <c r="G884" s="19" t="str">
        <f t="shared" si="39"/>
        <v/>
      </c>
      <c r="H884" s="19" t="str">
        <f t="shared" si="40"/>
        <v/>
      </c>
    </row>
    <row r="885" spans="1:8" x14ac:dyDescent="0.25">
      <c r="A885" s="21" t="str">
        <f t="shared" si="41"/>
        <v/>
      </c>
      <c r="B885"/>
      <c r="C885"/>
      <c r="F885"/>
      <c r="G885" s="19" t="str">
        <f t="shared" si="39"/>
        <v/>
      </c>
      <c r="H885" s="19" t="str">
        <f t="shared" si="40"/>
        <v/>
      </c>
    </row>
    <row r="886" spans="1:8" x14ac:dyDescent="0.25">
      <c r="A886" s="21" t="str">
        <f t="shared" si="41"/>
        <v/>
      </c>
      <c r="B886"/>
      <c r="C886"/>
      <c r="F886"/>
      <c r="G886" s="19" t="str">
        <f t="shared" si="39"/>
        <v/>
      </c>
      <c r="H886" s="19" t="str">
        <f t="shared" si="40"/>
        <v/>
      </c>
    </row>
    <row r="887" spans="1:8" x14ac:dyDescent="0.25">
      <c r="A887" s="21" t="str">
        <f t="shared" si="41"/>
        <v/>
      </c>
      <c r="B887"/>
      <c r="C887"/>
      <c r="F887"/>
      <c r="G887" s="19" t="str">
        <f t="shared" si="39"/>
        <v/>
      </c>
      <c r="H887" s="19" t="str">
        <f t="shared" si="40"/>
        <v/>
      </c>
    </row>
    <row r="888" spans="1:8" x14ac:dyDescent="0.25">
      <c r="A888" s="21" t="str">
        <f t="shared" si="41"/>
        <v/>
      </c>
      <c r="B888"/>
      <c r="C888"/>
      <c r="F888"/>
      <c r="G888" s="19" t="str">
        <f t="shared" si="39"/>
        <v/>
      </c>
      <c r="H888" s="19" t="str">
        <f t="shared" si="40"/>
        <v/>
      </c>
    </row>
    <row r="889" spans="1:8" x14ac:dyDescent="0.25">
      <c r="A889" s="21" t="str">
        <f t="shared" si="41"/>
        <v/>
      </c>
      <c r="B889"/>
      <c r="C889"/>
      <c r="F889"/>
      <c r="G889" s="19" t="str">
        <f t="shared" si="39"/>
        <v/>
      </c>
      <c r="H889" s="19" t="str">
        <f t="shared" si="40"/>
        <v/>
      </c>
    </row>
    <row r="890" spans="1:8" x14ac:dyDescent="0.25">
      <c r="A890" s="21" t="str">
        <f t="shared" si="41"/>
        <v/>
      </c>
      <c r="B890"/>
      <c r="C890"/>
      <c r="F890"/>
      <c r="G890" s="19" t="str">
        <f t="shared" si="39"/>
        <v/>
      </c>
      <c r="H890" s="19" t="str">
        <f t="shared" si="40"/>
        <v/>
      </c>
    </row>
    <row r="891" spans="1:8" x14ac:dyDescent="0.25">
      <c r="A891" s="21" t="str">
        <f t="shared" si="41"/>
        <v/>
      </c>
      <c r="B891"/>
      <c r="C891"/>
      <c r="F891"/>
      <c r="G891" s="19" t="str">
        <f t="shared" si="39"/>
        <v/>
      </c>
      <c r="H891" s="19" t="str">
        <f t="shared" si="40"/>
        <v/>
      </c>
    </row>
    <row r="892" spans="1:8" x14ac:dyDescent="0.25">
      <c r="A892" s="21" t="str">
        <f t="shared" si="41"/>
        <v/>
      </c>
      <c r="B892"/>
      <c r="C892"/>
      <c r="F892"/>
      <c r="G892" s="19" t="str">
        <f t="shared" si="39"/>
        <v/>
      </c>
      <c r="H892" s="19" t="str">
        <f t="shared" si="40"/>
        <v/>
      </c>
    </row>
    <row r="893" spans="1:8" x14ac:dyDescent="0.25">
      <c r="A893" s="21" t="str">
        <f t="shared" si="41"/>
        <v/>
      </c>
      <c r="B893"/>
      <c r="C893"/>
      <c r="F893"/>
      <c r="G893" s="19" t="str">
        <f t="shared" si="39"/>
        <v/>
      </c>
      <c r="H893" s="19" t="str">
        <f t="shared" si="40"/>
        <v/>
      </c>
    </row>
    <row r="894" spans="1:8" x14ac:dyDescent="0.25">
      <c r="A894" s="21" t="str">
        <f t="shared" si="41"/>
        <v/>
      </c>
      <c r="B894"/>
      <c r="C894"/>
      <c r="F894"/>
      <c r="G894" s="19" t="str">
        <f t="shared" si="39"/>
        <v/>
      </c>
      <c r="H894" s="19" t="str">
        <f t="shared" si="40"/>
        <v/>
      </c>
    </row>
    <row r="895" spans="1:8" x14ac:dyDescent="0.25">
      <c r="A895" s="21" t="str">
        <f t="shared" si="41"/>
        <v/>
      </c>
      <c r="B895"/>
      <c r="C895"/>
      <c r="F895"/>
      <c r="G895" s="19" t="str">
        <f t="shared" si="39"/>
        <v/>
      </c>
      <c r="H895" s="19" t="str">
        <f t="shared" si="40"/>
        <v/>
      </c>
    </row>
    <row r="896" spans="1:8" x14ac:dyDescent="0.25">
      <c r="A896" s="21" t="str">
        <f t="shared" si="41"/>
        <v/>
      </c>
      <c r="B896"/>
      <c r="C896"/>
      <c r="F896"/>
      <c r="G896" s="19" t="str">
        <f t="shared" si="39"/>
        <v/>
      </c>
      <c r="H896" s="19" t="str">
        <f t="shared" si="40"/>
        <v/>
      </c>
    </row>
    <row r="897" spans="1:8" x14ac:dyDescent="0.25">
      <c r="A897" s="21" t="str">
        <f t="shared" si="41"/>
        <v/>
      </c>
      <c r="B897"/>
      <c r="C897"/>
      <c r="F897"/>
      <c r="G897" s="19" t="str">
        <f t="shared" si="39"/>
        <v/>
      </c>
      <c r="H897" s="19" t="str">
        <f t="shared" si="40"/>
        <v/>
      </c>
    </row>
    <row r="898" spans="1:8" x14ac:dyDescent="0.25">
      <c r="A898" s="21" t="str">
        <f t="shared" si="41"/>
        <v/>
      </c>
      <c r="B898"/>
      <c r="C898"/>
      <c r="F898"/>
      <c r="G898" s="19" t="str">
        <f t="shared" si="39"/>
        <v/>
      </c>
      <c r="H898" s="19" t="str">
        <f t="shared" si="40"/>
        <v/>
      </c>
    </row>
    <row r="899" spans="1:8" x14ac:dyDescent="0.25">
      <c r="A899" s="21" t="str">
        <f t="shared" si="41"/>
        <v/>
      </c>
      <c r="B899"/>
      <c r="C899"/>
      <c r="F899"/>
      <c r="G899" s="19" t="str">
        <f t="shared" si="39"/>
        <v/>
      </c>
      <c r="H899" s="19" t="str">
        <f t="shared" si="40"/>
        <v/>
      </c>
    </row>
    <row r="900" spans="1:8" x14ac:dyDescent="0.25">
      <c r="A900" s="21" t="str">
        <f t="shared" si="41"/>
        <v/>
      </c>
      <c r="B900"/>
      <c r="C900"/>
      <c r="F900"/>
      <c r="G900" s="19" t="str">
        <f t="shared" ref="G900:G963" si="42">IFERROR(VLOOKUP(F900,$A$3:$C$1002,2,FALSE),"")</f>
        <v/>
      </c>
      <c r="H900" s="19" t="str">
        <f t="shared" ref="H900:H963" si="43">IFERROR(VLOOKUP(F900,$A$3:$C$1002,3,FALSE),"")</f>
        <v/>
      </c>
    </row>
    <row r="901" spans="1:8" x14ac:dyDescent="0.25">
      <c r="A901" s="21" t="str">
        <f t="shared" ref="A901:A964" si="44">IF(LEN(B901)&gt;0,RANK(C901,C$3:C$1002,0),"")</f>
        <v/>
      </c>
      <c r="B901"/>
      <c r="C901"/>
      <c r="F901"/>
      <c r="G901" s="19" t="str">
        <f t="shared" si="42"/>
        <v/>
      </c>
      <c r="H901" s="19" t="str">
        <f t="shared" si="43"/>
        <v/>
      </c>
    </row>
    <row r="902" spans="1:8" x14ac:dyDescent="0.25">
      <c r="A902" s="21" t="str">
        <f t="shared" si="44"/>
        <v/>
      </c>
      <c r="B902"/>
      <c r="C902"/>
      <c r="F902"/>
      <c r="G902" s="19" t="str">
        <f t="shared" si="42"/>
        <v/>
      </c>
      <c r="H902" s="19" t="str">
        <f t="shared" si="43"/>
        <v/>
      </c>
    </row>
    <row r="903" spans="1:8" x14ac:dyDescent="0.25">
      <c r="A903" s="21" t="str">
        <f t="shared" si="44"/>
        <v/>
      </c>
      <c r="B903"/>
      <c r="C903"/>
      <c r="F903"/>
      <c r="G903" s="19" t="str">
        <f t="shared" si="42"/>
        <v/>
      </c>
      <c r="H903" s="19" t="str">
        <f t="shared" si="43"/>
        <v/>
      </c>
    </row>
    <row r="904" spans="1:8" x14ac:dyDescent="0.25">
      <c r="A904" s="21" t="str">
        <f t="shared" si="44"/>
        <v/>
      </c>
      <c r="B904"/>
      <c r="C904"/>
      <c r="F904"/>
      <c r="G904" s="19" t="str">
        <f t="shared" si="42"/>
        <v/>
      </c>
      <c r="H904" s="19" t="str">
        <f t="shared" si="43"/>
        <v/>
      </c>
    </row>
    <row r="905" spans="1:8" x14ac:dyDescent="0.25">
      <c r="A905" s="21" t="str">
        <f t="shared" si="44"/>
        <v/>
      </c>
      <c r="B905"/>
      <c r="C905"/>
      <c r="F905"/>
      <c r="G905" s="19" t="str">
        <f t="shared" si="42"/>
        <v/>
      </c>
      <c r="H905" s="19" t="str">
        <f t="shared" si="43"/>
        <v/>
      </c>
    </row>
    <row r="906" spans="1:8" x14ac:dyDescent="0.25">
      <c r="A906" s="21" t="str">
        <f t="shared" si="44"/>
        <v/>
      </c>
      <c r="B906"/>
      <c r="C906"/>
      <c r="F906"/>
      <c r="G906" s="19" t="str">
        <f t="shared" si="42"/>
        <v/>
      </c>
      <c r="H906" s="19" t="str">
        <f t="shared" si="43"/>
        <v/>
      </c>
    </row>
    <row r="907" spans="1:8" x14ac:dyDescent="0.25">
      <c r="A907" s="21" t="str">
        <f t="shared" si="44"/>
        <v/>
      </c>
      <c r="B907"/>
      <c r="C907"/>
      <c r="F907"/>
      <c r="G907" s="19" t="str">
        <f t="shared" si="42"/>
        <v/>
      </c>
      <c r="H907" s="19" t="str">
        <f t="shared" si="43"/>
        <v/>
      </c>
    </row>
    <row r="908" spans="1:8" x14ac:dyDescent="0.25">
      <c r="A908" s="21" t="str">
        <f t="shared" si="44"/>
        <v/>
      </c>
      <c r="B908"/>
      <c r="C908"/>
      <c r="F908"/>
      <c r="G908" s="19" t="str">
        <f t="shared" si="42"/>
        <v/>
      </c>
      <c r="H908" s="19" t="str">
        <f t="shared" si="43"/>
        <v/>
      </c>
    </row>
    <row r="909" spans="1:8" x14ac:dyDescent="0.25">
      <c r="A909" s="21" t="str">
        <f t="shared" si="44"/>
        <v/>
      </c>
      <c r="B909"/>
      <c r="C909"/>
      <c r="F909"/>
      <c r="G909" s="19" t="str">
        <f t="shared" si="42"/>
        <v/>
      </c>
      <c r="H909" s="19" t="str">
        <f t="shared" si="43"/>
        <v/>
      </c>
    </row>
    <row r="910" spans="1:8" x14ac:dyDescent="0.25">
      <c r="A910" s="21" t="str">
        <f t="shared" si="44"/>
        <v/>
      </c>
      <c r="B910"/>
      <c r="C910"/>
      <c r="F910"/>
      <c r="G910" s="19" t="str">
        <f t="shared" si="42"/>
        <v/>
      </c>
      <c r="H910" s="19" t="str">
        <f t="shared" si="43"/>
        <v/>
      </c>
    </row>
    <row r="911" spans="1:8" x14ac:dyDescent="0.25">
      <c r="A911" s="21" t="str">
        <f t="shared" si="44"/>
        <v/>
      </c>
      <c r="B911"/>
      <c r="C911"/>
      <c r="F911"/>
      <c r="G911" s="19" t="str">
        <f t="shared" si="42"/>
        <v/>
      </c>
      <c r="H911" s="19" t="str">
        <f t="shared" si="43"/>
        <v/>
      </c>
    </row>
    <row r="912" spans="1:8" x14ac:dyDescent="0.25">
      <c r="A912" s="21" t="str">
        <f t="shared" si="44"/>
        <v/>
      </c>
      <c r="B912"/>
      <c r="C912"/>
      <c r="F912"/>
      <c r="G912" s="19" t="str">
        <f t="shared" si="42"/>
        <v/>
      </c>
      <c r="H912" s="19" t="str">
        <f t="shared" si="43"/>
        <v/>
      </c>
    </row>
    <row r="913" spans="1:8" x14ac:dyDescent="0.25">
      <c r="A913" s="21" t="str">
        <f t="shared" si="44"/>
        <v/>
      </c>
      <c r="B913"/>
      <c r="C913"/>
      <c r="F913"/>
      <c r="G913" s="19" t="str">
        <f t="shared" si="42"/>
        <v/>
      </c>
      <c r="H913" s="19" t="str">
        <f t="shared" si="43"/>
        <v/>
      </c>
    </row>
    <row r="914" spans="1:8" x14ac:dyDescent="0.25">
      <c r="A914" s="21" t="str">
        <f t="shared" si="44"/>
        <v/>
      </c>
      <c r="B914"/>
      <c r="C914"/>
      <c r="F914"/>
      <c r="G914" s="19" t="str">
        <f t="shared" si="42"/>
        <v/>
      </c>
      <c r="H914" s="19" t="str">
        <f t="shared" si="43"/>
        <v/>
      </c>
    </row>
    <row r="915" spans="1:8" x14ac:dyDescent="0.25">
      <c r="A915" s="21" t="str">
        <f t="shared" si="44"/>
        <v/>
      </c>
      <c r="B915"/>
      <c r="C915"/>
      <c r="F915"/>
      <c r="G915" s="19" t="str">
        <f t="shared" si="42"/>
        <v/>
      </c>
      <c r="H915" s="19" t="str">
        <f t="shared" si="43"/>
        <v/>
      </c>
    </row>
    <row r="916" spans="1:8" x14ac:dyDescent="0.25">
      <c r="A916" s="21" t="str">
        <f t="shared" si="44"/>
        <v/>
      </c>
      <c r="B916"/>
      <c r="C916"/>
      <c r="F916"/>
      <c r="G916" s="19" t="str">
        <f t="shared" si="42"/>
        <v/>
      </c>
      <c r="H916" s="19" t="str">
        <f t="shared" si="43"/>
        <v/>
      </c>
    </row>
    <row r="917" spans="1:8" x14ac:dyDescent="0.25">
      <c r="A917" s="21" t="str">
        <f t="shared" si="44"/>
        <v/>
      </c>
      <c r="B917"/>
      <c r="C917"/>
      <c r="F917"/>
      <c r="G917" s="19" t="str">
        <f t="shared" si="42"/>
        <v/>
      </c>
      <c r="H917" s="19" t="str">
        <f t="shared" si="43"/>
        <v/>
      </c>
    </row>
    <row r="918" spans="1:8" x14ac:dyDescent="0.25">
      <c r="A918" s="21" t="str">
        <f t="shared" si="44"/>
        <v/>
      </c>
      <c r="B918"/>
      <c r="C918"/>
      <c r="F918"/>
      <c r="G918" s="19" t="str">
        <f t="shared" si="42"/>
        <v/>
      </c>
      <c r="H918" s="19" t="str">
        <f t="shared" si="43"/>
        <v/>
      </c>
    </row>
    <row r="919" spans="1:8" x14ac:dyDescent="0.25">
      <c r="A919" s="21" t="str">
        <f t="shared" si="44"/>
        <v/>
      </c>
      <c r="B919"/>
      <c r="C919"/>
      <c r="F919"/>
      <c r="G919" s="19" t="str">
        <f t="shared" si="42"/>
        <v/>
      </c>
      <c r="H919" s="19" t="str">
        <f t="shared" si="43"/>
        <v/>
      </c>
    </row>
    <row r="920" spans="1:8" x14ac:dyDescent="0.25">
      <c r="A920" s="21" t="str">
        <f t="shared" si="44"/>
        <v/>
      </c>
      <c r="B920"/>
      <c r="C920"/>
      <c r="F920"/>
      <c r="G920" s="19" t="str">
        <f t="shared" si="42"/>
        <v/>
      </c>
      <c r="H920" s="19" t="str">
        <f t="shared" si="43"/>
        <v/>
      </c>
    </row>
    <row r="921" spans="1:8" x14ac:dyDescent="0.25">
      <c r="A921" s="21" t="str">
        <f t="shared" si="44"/>
        <v/>
      </c>
      <c r="B921"/>
      <c r="C921"/>
      <c r="F921"/>
      <c r="G921" s="19" t="str">
        <f t="shared" si="42"/>
        <v/>
      </c>
      <c r="H921" s="19" t="str">
        <f t="shared" si="43"/>
        <v/>
      </c>
    </row>
    <row r="922" spans="1:8" x14ac:dyDescent="0.25">
      <c r="A922" s="21" t="str">
        <f t="shared" si="44"/>
        <v/>
      </c>
      <c r="B922"/>
      <c r="C922"/>
      <c r="F922"/>
      <c r="G922" s="19" t="str">
        <f t="shared" si="42"/>
        <v/>
      </c>
      <c r="H922" s="19" t="str">
        <f t="shared" si="43"/>
        <v/>
      </c>
    </row>
    <row r="923" spans="1:8" x14ac:dyDescent="0.25">
      <c r="A923" s="21" t="str">
        <f t="shared" si="44"/>
        <v/>
      </c>
      <c r="B923"/>
      <c r="C923"/>
      <c r="F923"/>
      <c r="G923" s="19" t="str">
        <f t="shared" si="42"/>
        <v/>
      </c>
      <c r="H923" s="19" t="str">
        <f t="shared" si="43"/>
        <v/>
      </c>
    </row>
    <row r="924" spans="1:8" x14ac:dyDescent="0.25">
      <c r="A924" s="21" t="str">
        <f t="shared" si="44"/>
        <v/>
      </c>
      <c r="B924"/>
      <c r="C924"/>
      <c r="F924"/>
      <c r="G924" s="19" t="str">
        <f t="shared" si="42"/>
        <v/>
      </c>
      <c r="H924" s="19" t="str">
        <f t="shared" si="43"/>
        <v/>
      </c>
    </row>
    <row r="925" spans="1:8" x14ac:dyDescent="0.25">
      <c r="A925" s="21" t="str">
        <f t="shared" si="44"/>
        <v/>
      </c>
      <c r="B925"/>
      <c r="C925"/>
      <c r="F925"/>
      <c r="G925" s="19" t="str">
        <f t="shared" si="42"/>
        <v/>
      </c>
      <c r="H925" s="19" t="str">
        <f t="shared" si="43"/>
        <v/>
      </c>
    </row>
    <row r="926" spans="1:8" x14ac:dyDescent="0.25">
      <c r="A926" s="21" t="str">
        <f t="shared" si="44"/>
        <v/>
      </c>
      <c r="B926"/>
      <c r="C926"/>
      <c r="F926"/>
      <c r="G926" s="19" t="str">
        <f t="shared" si="42"/>
        <v/>
      </c>
      <c r="H926" s="19" t="str">
        <f t="shared" si="43"/>
        <v/>
      </c>
    </row>
    <row r="927" spans="1:8" x14ac:dyDescent="0.25">
      <c r="A927" s="21" t="str">
        <f t="shared" si="44"/>
        <v/>
      </c>
      <c r="B927"/>
      <c r="C927"/>
      <c r="F927"/>
      <c r="G927" s="19" t="str">
        <f t="shared" si="42"/>
        <v/>
      </c>
      <c r="H927" s="19" t="str">
        <f t="shared" si="43"/>
        <v/>
      </c>
    </row>
    <row r="928" spans="1:8" x14ac:dyDescent="0.25">
      <c r="A928" s="21" t="str">
        <f t="shared" si="44"/>
        <v/>
      </c>
      <c r="B928"/>
      <c r="C928"/>
      <c r="F928"/>
      <c r="G928" s="19" t="str">
        <f t="shared" si="42"/>
        <v/>
      </c>
      <c r="H928" s="19" t="str">
        <f t="shared" si="43"/>
        <v/>
      </c>
    </row>
    <row r="929" spans="1:8" x14ac:dyDescent="0.25">
      <c r="A929" s="21" t="str">
        <f t="shared" si="44"/>
        <v/>
      </c>
      <c r="B929"/>
      <c r="C929"/>
      <c r="F929"/>
      <c r="G929" s="19" t="str">
        <f t="shared" si="42"/>
        <v/>
      </c>
      <c r="H929" s="19" t="str">
        <f t="shared" si="43"/>
        <v/>
      </c>
    </row>
    <row r="930" spans="1:8" x14ac:dyDescent="0.25">
      <c r="A930" s="21" t="str">
        <f t="shared" si="44"/>
        <v/>
      </c>
      <c r="B930"/>
      <c r="C930"/>
      <c r="F930"/>
      <c r="G930" s="19" t="str">
        <f t="shared" si="42"/>
        <v/>
      </c>
      <c r="H930" s="19" t="str">
        <f t="shared" si="43"/>
        <v/>
      </c>
    </row>
    <row r="931" spans="1:8" x14ac:dyDescent="0.25">
      <c r="A931" s="21" t="str">
        <f t="shared" si="44"/>
        <v/>
      </c>
      <c r="B931"/>
      <c r="C931"/>
      <c r="F931"/>
      <c r="G931" s="19" t="str">
        <f t="shared" si="42"/>
        <v/>
      </c>
      <c r="H931" s="19" t="str">
        <f t="shared" si="43"/>
        <v/>
      </c>
    </row>
    <row r="932" spans="1:8" x14ac:dyDescent="0.25">
      <c r="A932" s="21" t="str">
        <f t="shared" si="44"/>
        <v/>
      </c>
      <c r="B932"/>
      <c r="C932"/>
      <c r="F932"/>
      <c r="G932" s="19" t="str">
        <f t="shared" si="42"/>
        <v/>
      </c>
      <c r="H932" s="19" t="str">
        <f t="shared" si="43"/>
        <v/>
      </c>
    </row>
    <row r="933" spans="1:8" x14ac:dyDescent="0.25">
      <c r="A933" s="21" t="str">
        <f t="shared" si="44"/>
        <v/>
      </c>
      <c r="B933"/>
      <c r="C933"/>
      <c r="F933"/>
      <c r="G933" s="19" t="str">
        <f t="shared" si="42"/>
        <v/>
      </c>
      <c r="H933" s="19" t="str">
        <f t="shared" si="43"/>
        <v/>
      </c>
    </row>
    <row r="934" spans="1:8" x14ac:dyDescent="0.25">
      <c r="A934" s="21" t="str">
        <f t="shared" si="44"/>
        <v/>
      </c>
      <c r="B934"/>
      <c r="C934"/>
      <c r="F934"/>
      <c r="G934" s="19" t="str">
        <f t="shared" si="42"/>
        <v/>
      </c>
      <c r="H934" s="19" t="str">
        <f t="shared" si="43"/>
        <v/>
      </c>
    </row>
    <row r="935" spans="1:8" x14ac:dyDescent="0.25">
      <c r="A935" s="21" t="str">
        <f t="shared" si="44"/>
        <v/>
      </c>
      <c r="B935"/>
      <c r="C935"/>
      <c r="F935"/>
      <c r="G935" s="19" t="str">
        <f t="shared" si="42"/>
        <v/>
      </c>
      <c r="H935" s="19" t="str">
        <f t="shared" si="43"/>
        <v/>
      </c>
    </row>
    <row r="936" spans="1:8" x14ac:dyDescent="0.25">
      <c r="A936" s="21" t="str">
        <f t="shared" si="44"/>
        <v/>
      </c>
      <c r="B936"/>
      <c r="C936"/>
      <c r="F936"/>
      <c r="G936" s="19" t="str">
        <f t="shared" si="42"/>
        <v/>
      </c>
      <c r="H936" s="19" t="str">
        <f t="shared" si="43"/>
        <v/>
      </c>
    </row>
    <row r="937" spans="1:8" x14ac:dyDescent="0.25">
      <c r="A937" s="21" t="str">
        <f t="shared" si="44"/>
        <v/>
      </c>
      <c r="B937"/>
      <c r="C937"/>
      <c r="F937"/>
      <c r="G937" s="19" t="str">
        <f t="shared" si="42"/>
        <v/>
      </c>
      <c r="H937" s="19" t="str">
        <f t="shared" si="43"/>
        <v/>
      </c>
    </row>
    <row r="938" spans="1:8" x14ac:dyDescent="0.25">
      <c r="A938" s="21" t="str">
        <f t="shared" si="44"/>
        <v/>
      </c>
      <c r="B938"/>
      <c r="C938"/>
      <c r="F938"/>
      <c r="G938" s="19" t="str">
        <f t="shared" si="42"/>
        <v/>
      </c>
      <c r="H938" s="19" t="str">
        <f t="shared" si="43"/>
        <v/>
      </c>
    </row>
    <row r="939" spans="1:8" x14ac:dyDescent="0.25">
      <c r="A939" s="21" t="str">
        <f t="shared" si="44"/>
        <v/>
      </c>
      <c r="B939"/>
      <c r="C939"/>
      <c r="F939"/>
      <c r="G939" s="19" t="str">
        <f t="shared" si="42"/>
        <v/>
      </c>
      <c r="H939" s="19" t="str">
        <f t="shared" si="43"/>
        <v/>
      </c>
    </row>
    <row r="940" spans="1:8" x14ac:dyDescent="0.25">
      <c r="A940" s="21" t="str">
        <f t="shared" si="44"/>
        <v/>
      </c>
      <c r="B940"/>
      <c r="C940"/>
      <c r="F940"/>
      <c r="G940" s="19" t="str">
        <f t="shared" si="42"/>
        <v/>
      </c>
      <c r="H940" s="19" t="str">
        <f t="shared" si="43"/>
        <v/>
      </c>
    </row>
    <row r="941" spans="1:8" x14ac:dyDescent="0.25">
      <c r="A941" s="21" t="str">
        <f t="shared" si="44"/>
        <v/>
      </c>
      <c r="B941"/>
      <c r="C941"/>
      <c r="F941"/>
      <c r="G941" s="19" t="str">
        <f t="shared" si="42"/>
        <v/>
      </c>
      <c r="H941" s="19" t="str">
        <f t="shared" si="43"/>
        <v/>
      </c>
    </row>
    <row r="942" spans="1:8" x14ac:dyDescent="0.25">
      <c r="A942" s="21" t="str">
        <f t="shared" si="44"/>
        <v/>
      </c>
      <c r="B942"/>
      <c r="C942"/>
      <c r="F942"/>
      <c r="G942" s="19" t="str">
        <f t="shared" si="42"/>
        <v/>
      </c>
      <c r="H942" s="19" t="str">
        <f t="shared" si="43"/>
        <v/>
      </c>
    </row>
    <row r="943" spans="1:8" x14ac:dyDescent="0.25">
      <c r="A943" s="21" t="str">
        <f t="shared" si="44"/>
        <v/>
      </c>
      <c r="B943"/>
      <c r="C943"/>
      <c r="F943"/>
      <c r="G943" s="19" t="str">
        <f t="shared" si="42"/>
        <v/>
      </c>
      <c r="H943" s="19" t="str">
        <f t="shared" si="43"/>
        <v/>
      </c>
    </row>
    <row r="944" spans="1:8" x14ac:dyDescent="0.25">
      <c r="A944" s="21" t="str">
        <f t="shared" si="44"/>
        <v/>
      </c>
      <c r="B944"/>
      <c r="C944"/>
      <c r="F944"/>
      <c r="G944" s="19" t="str">
        <f t="shared" si="42"/>
        <v/>
      </c>
      <c r="H944" s="19" t="str">
        <f t="shared" si="43"/>
        <v/>
      </c>
    </row>
    <row r="945" spans="1:8" x14ac:dyDescent="0.25">
      <c r="A945" s="21" t="str">
        <f t="shared" si="44"/>
        <v/>
      </c>
      <c r="B945"/>
      <c r="C945"/>
      <c r="F945"/>
      <c r="G945" s="19" t="str">
        <f t="shared" si="42"/>
        <v/>
      </c>
      <c r="H945" s="19" t="str">
        <f t="shared" si="43"/>
        <v/>
      </c>
    </row>
    <row r="946" spans="1:8" x14ac:dyDescent="0.25">
      <c r="A946" s="21" t="str">
        <f t="shared" si="44"/>
        <v/>
      </c>
      <c r="B946"/>
      <c r="C946"/>
      <c r="F946"/>
      <c r="G946" s="19" t="str">
        <f t="shared" si="42"/>
        <v/>
      </c>
      <c r="H946" s="19" t="str">
        <f t="shared" si="43"/>
        <v/>
      </c>
    </row>
    <row r="947" spans="1:8" x14ac:dyDescent="0.25">
      <c r="A947" s="21" t="str">
        <f t="shared" si="44"/>
        <v/>
      </c>
      <c r="B947"/>
      <c r="C947"/>
      <c r="F947"/>
      <c r="G947" s="19" t="str">
        <f t="shared" si="42"/>
        <v/>
      </c>
      <c r="H947" s="19" t="str">
        <f t="shared" si="43"/>
        <v/>
      </c>
    </row>
    <row r="948" spans="1:8" x14ac:dyDescent="0.25">
      <c r="A948" s="21" t="str">
        <f t="shared" si="44"/>
        <v/>
      </c>
      <c r="B948"/>
      <c r="C948"/>
      <c r="F948"/>
      <c r="G948" s="19" t="str">
        <f t="shared" si="42"/>
        <v/>
      </c>
      <c r="H948" s="19" t="str">
        <f t="shared" si="43"/>
        <v/>
      </c>
    </row>
    <row r="949" spans="1:8" x14ac:dyDescent="0.25">
      <c r="A949" s="21" t="str">
        <f t="shared" si="44"/>
        <v/>
      </c>
      <c r="B949"/>
      <c r="C949"/>
      <c r="F949"/>
      <c r="G949" s="19" t="str">
        <f t="shared" si="42"/>
        <v/>
      </c>
      <c r="H949" s="19" t="str">
        <f t="shared" si="43"/>
        <v/>
      </c>
    </row>
    <row r="950" spans="1:8" x14ac:dyDescent="0.25">
      <c r="A950" s="21" t="str">
        <f t="shared" si="44"/>
        <v/>
      </c>
      <c r="B950"/>
      <c r="C950"/>
      <c r="F950"/>
      <c r="G950" s="19" t="str">
        <f t="shared" si="42"/>
        <v/>
      </c>
      <c r="H950" s="19" t="str">
        <f t="shared" si="43"/>
        <v/>
      </c>
    </row>
    <row r="951" spans="1:8" x14ac:dyDescent="0.25">
      <c r="A951" s="21" t="str">
        <f t="shared" si="44"/>
        <v/>
      </c>
      <c r="B951"/>
      <c r="C951"/>
      <c r="F951"/>
      <c r="G951" s="19" t="str">
        <f t="shared" si="42"/>
        <v/>
      </c>
      <c r="H951" s="19" t="str">
        <f t="shared" si="43"/>
        <v/>
      </c>
    </row>
    <row r="952" spans="1:8" x14ac:dyDescent="0.25">
      <c r="A952" s="21" t="str">
        <f t="shared" si="44"/>
        <v/>
      </c>
      <c r="B952"/>
      <c r="C952"/>
      <c r="F952"/>
      <c r="G952" s="19" t="str">
        <f t="shared" si="42"/>
        <v/>
      </c>
      <c r="H952" s="19" t="str">
        <f t="shared" si="43"/>
        <v/>
      </c>
    </row>
    <row r="953" spans="1:8" x14ac:dyDescent="0.25">
      <c r="A953" s="21" t="str">
        <f t="shared" si="44"/>
        <v/>
      </c>
      <c r="B953"/>
      <c r="C953"/>
      <c r="F953"/>
      <c r="G953" s="19" t="str">
        <f t="shared" si="42"/>
        <v/>
      </c>
      <c r="H953" s="19" t="str">
        <f t="shared" si="43"/>
        <v/>
      </c>
    </row>
    <row r="954" spans="1:8" x14ac:dyDescent="0.25">
      <c r="A954" s="21" t="str">
        <f t="shared" si="44"/>
        <v/>
      </c>
      <c r="B954"/>
      <c r="C954"/>
      <c r="F954"/>
      <c r="G954" s="19" t="str">
        <f t="shared" si="42"/>
        <v/>
      </c>
      <c r="H954" s="19" t="str">
        <f t="shared" si="43"/>
        <v/>
      </c>
    </row>
    <row r="955" spans="1:8" x14ac:dyDescent="0.25">
      <c r="A955" s="21" t="str">
        <f t="shared" si="44"/>
        <v/>
      </c>
      <c r="B955"/>
      <c r="C955"/>
      <c r="F955"/>
      <c r="G955" s="19" t="str">
        <f t="shared" si="42"/>
        <v/>
      </c>
      <c r="H955" s="19" t="str">
        <f t="shared" si="43"/>
        <v/>
      </c>
    </row>
    <row r="956" spans="1:8" x14ac:dyDescent="0.25">
      <c r="A956" s="21" t="str">
        <f t="shared" si="44"/>
        <v/>
      </c>
      <c r="B956"/>
      <c r="C956"/>
      <c r="F956"/>
      <c r="G956" s="19" t="str">
        <f t="shared" si="42"/>
        <v/>
      </c>
      <c r="H956" s="19" t="str">
        <f t="shared" si="43"/>
        <v/>
      </c>
    </row>
    <row r="957" spans="1:8" x14ac:dyDescent="0.25">
      <c r="A957" s="21" t="str">
        <f t="shared" si="44"/>
        <v/>
      </c>
      <c r="B957"/>
      <c r="C957"/>
      <c r="F957"/>
      <c r="G957" s="19" t="str">
        <f t="shared" si="42"/>
        <v/>
      </c>
      <c r="H957" s="19" t="str">
        <f t="shared" si="43"/>
        <v/>
      </c>
    </row>
    <row r="958" spans="1:8" x14ac:dyDescent="0.25">
      <c r="A958" s="21" t="str">
        <f t="shared" si="44"/>
        <v/>
      </c>
      <c r="B958"/>
      <c r="C958"/>
      <c r="F958"/>
      <c r="G958" s="19" t="str">
        <f t="shared" si="42"/>
        <v/>
      </c>
      <c r="H958" s="19" t="str">
        <f t="shared" si="43"/>
        <v/>
      </c>
    </row>
    <row r="959" spans="1:8" x14ac:dyDescent="0.25">
      <c r="A959" s="21" t="str">
        <f t="shared" si="44"/>
        <v/>
      </c>
      <c r="B959"/>
      <c r="C959"/>
      <c r="F959"/>
      <c r="G959" s="19" t="str">
        <f t="shared" si="42"/>
        <v/>
      </c>
      <c r="H959" s="19" t="str">
        <f t="shared" si="43"/>
        <v/>
      </c>
    </row>
    <row r="960" spans="1:8" x14ac:dyDescent="0.25">
      <c r="A960" s="21" t="str">
        <f t="shared" si="44"/>
        <v/>
      </c>
      <c r="B960"/>
      <c r="C960"/>
      <c r="F960"/>
      <c r="G960" s="19" t="str">
        <f t="shared" si="42"/>
        <v/>
      </c>
      <c r="H960" s="19" t="str">
        <f t="shared" si="43"/>
        <v/>
      </c>
    </row>
    <row r="961" spans="1:8" x14ac:dyDescent="0.25">
      <c r="A961" s="21" t="str">
        <f t="shared" si="44"/>
        <v/>
      </c>
      <c r="B961"/>
      <c r="C961"/>
      <c r="F961"/>
      <c r="G961" s="19" t="str">
        <f t="shared" si="42"/>
        <v/>
      </c>
      <c r="H961" s="19" t="str">
        <f t="shared" si="43"/>
        <v/>
      </c>
    </row>
    <row r="962" spans="1:8" x14ac:dyDescent="0.25">
      <c r="A962" s="21" t="str">
        <f t="shared" si="44"/>
        <v/>
      </c>
      <c r="B962"/>
      <c r="C962"/>
      <c r="F962"/>
      <c r="G962" s="19" t="str">
        <f t="shared" si="42"/>
        <v/>
      </c>
      <c r="H962" s="19" t="str">
        <f t="shared" si="43"/>
        <v/>
      </c>
    </row>
    <row r="963" spans="1:8" x14ac:dyDescent="0.25">
      <c r="A963" s="21" t="str">
        <f t="shared" si="44"/>
        <v/>
      </c>
      <c r="B963"/>
      <c r="C963"/>
      <c r="F963"/>
      <c r="G963" s="19" t="str">
        <f t="shared" si="42"/>
        <v/>
      </c>
      <c r="H963" s="19" t="str">
        <f t="shared" si="43"/>
        <v/>
      </c>
    </row>
    <row r="964" spans="1:8" x14ac:dyDescent="0.25">
      <c r="A964" s="21" t="str">
        <f t="shared" si="44"/>
        <v/>
      </c>
      <c r="B964"/>
      <c r="C964"/>
      <c r="F964"/>
      <c r="G964" s="19" t="str">
        <f t="shared" ref="G964:G1002" si="45">IFERROR(VLOOKUP(F964,$A$3:$C$1002,2,FALSE),"")</f>
        <v/>
      </c>
      <c r="H964" s="19" t="str">
        <f t="shared" ref="H964:H1002" si="46">IFERROR(VLOOKUP(F964,$A$3:$C$1002,3,FALSE),"")</f>
        <v/>
      </c>
    </row>
    <row r="965" spans="1:8" x14ac:dyDescent="0.25">
      <c r="A965" s="21" t="str">
        <f t="shared" ref="A965:A1000" si="47">IF(LEN(B965)&gt;0,RANK(C965,C$3:C$1002,0),"")</f>
        <v/>
      </c>
      <c r="B965"/>
      <c r="C965"/>
      <c r="F965"/>
      <c r="G965" s="19" t="str">
        <f t="shared" si="45"/>
        <v/>
      </c>
      <c r="H965" s="19" t="str">
        <f t="shared" si="46"/>
        <v/>
      </c>
    </row>
    <row r="966" spans="1:8" x14ac:dyDescent="0.25">
      <c r="A966" s="21" t="str">
        <f t="shared" si="47"/>
        <v/>
      </c>
      <c r="B966"/>
      <c r="C966"/>
      <c r="F966"/>
      <c r="G966" s="19" t="str">
        <f t="shared" si="45"/>
        <v/>
      </c>
      <c r="H966" s="19" t="str">
        <f t="shared" si="46"/>
        <v/>
      </c>
    </row>
    <row r="967" spans="1:8" x14ac:dyDescent="0.25">
      <c r="A967" s="21" t="str">
        <f t="shared" si="47"/>
        <v/>
      </c>
      <c r="B967"/>
      <c r="C967"/>
      <c r="F967"/>
      <c r="G967" s="19" t="str">
        <f t="shared" si="45"/>
        <v/>
      </c>
      <c r="H967" s="19" t="str">
        <f t="shared" si="46"/>
        <v/>
      </c>
    </row>
    <row r="968" spans="1:8" x14ac:dyDescent="0.25">
      <c r="A968" s="21" t="str">
        <f t="shared" si="47"/>
        <v/>
      </c>
      <c r="B968"/>
      <c r="C968"/>
      <c r="F968"/>
      <c r="G968" s="19" t="str">
        <f t="shared" si="45"/>
        <v/>
      </c>
      <c r="H968" s="19" t="str">
        <f t="shared" si="46"/>
        <v/>
      </c>
    </row>
    <row r="969" spans="1:8" x14ac:dyDescent="0.25">
      <c r="A969" s="21" t="str">
        <f t="shared" si="47"/>
        <v/>
      </c>
      <c r="B969"/>
      <c r="C969"/>
      <c r="F969"/>
      <c r="G969" s="19" t="str">
        <f t="shared" si="45"/>
        <v/>
      </c>
      <c r="H969" s="19" t="str">
        <f t="shared" si="46"/>
        <v/>
      </c>
    </row>
    <row r="970" spans="1:8" x14ac:dyDescent="0.25">
      <c r="A970" s="21" t="str">
        <f t="shared" si="47"/>
        <v/>
      </c>
      <c r="B970"/>
      <c r="C970"/>
      <c r="F970"/>
      <c r="G970" s="19" t="str">
        <f t="shared" si="45"/>
        <v/>
      </c>
      <c r="H970" s="19" t="str">
        <f t="shared" si="46"/>
        <v/>
      </c>
    </row>
    <row r="971" spans="1:8" x14ac:dyDescent="0.25">
      <c r="A971" s="21" t="str">
        <f t="shared" si="47"/>
        <v/>
      </c>
      <c r="B971"/>
      <c r="C971"/>
      <c r="F971"/>
      <c r="G971" s="19" t="str">
        <f t="shared" si="45"/>
        <v/>
      </c>
      <c r="H971" s="19" t="str">
        <f t="shared" si="46"/>
        <v/>
      </c>
    </row>
    <row r="972" spans="1:8" x14ac:dyDescent="0.25">
      <c r="A972" s="21" t="str">
        <f t="shared" si="47"/>
        <v/>
      </c>
      <c r="B972"/>
      <c r="C972"/>
      <c r="F972"/>
      <c r="G972" s="19" t="str">
        <f t="shared" si="45"/>
        <v/>
      </c>
      <c r="H972" s="19" t="str">
        <f t="shared" si="46"/>
        <v/>
      </c>
    </row>
    <row r="973" spans="1:8" x14ac:dyDescent="0.25">
      <c r="A973" s="21" t="str">
        <f t="shared" si="47"/>
        <v/>
      </c>
      <c r="B973"/>
      <c r="C973"/>
      <c r="F973"/>
      <c r="G973" s="19" t="str">
        <f t="shared" si="45"/>
        <v/>
      </c>
      <c r="H973" s="19" t="str">
        <f t="shared" si="46"/>
        <v/>
      </c>
    </row>
    <row r="974" spans="1:8" x14ac:dyDescent="0.25">
      <c r="A974" s="21" t="str">
        <f t="shared" si="47"/>
        <v/>
      </c>
      <c r="B974"/>
      <c r="C974"/>
      <c r="F974"/>
      <c r="G974" s="19" t="str">
        <f t="shared" si="45"/>
        <v/>
      </c>
      <c r="H974" s="19" t="str">
        <f t="shared" si="46"/>
        <v/>
      </c>
    </row>
    <row r="975" spans="1:8" x14ac:dyDescent="0.25">
      <c r="A975" s="21" t="str">
        <f t="shared" si="47"/>
        <v/>
      </c>
      <c r="B975"/>
      <c r="C975"/>
      <c r="F975"/>
      <c r="G975" s="19" t="str">
        <f t="shared" si="45"/>
        <v/>
      </c>
      <c r="H975" s="19" t="str">
        <f t="shared" si="46"/>
        <v/>
      </c>
    </row>
    <row r="976" spans="1:8" x14ac:dyDescent="0.25">
      <c r="A976" s="21" t="str">
        <f t="shared" si="47"/>
        <v/>
      </c>
      <c r="B976"/>
      <c r="C976"/>
      <c r="F976"/>
      <c r="G976" s="19" t="str">
        <f t="shared" si="45"/>
        <v/>
      </c>
      <c r="H976" s="19" t="str">
        <f t="shared" si="46"/>
        <v/>
      </c>
    </row>
    <row r="977" spans="1:8" x14ac:dyDescent="0.25">
      <c r="A977" s="21" t="str">
        <f t="shared" si="47"/>
        <v/>
      </c>
      <c r="B977"/>
      <c r="C977"/>
      <c r="F977"/>
      <c r="G977" s="19" t="str">
        <f t="shared" si="45"/>
        <v/>
      </c>
      <c r="H977" s="19" t="str">
        <f t="shared" si="46"/>
        <v/>
      </c>
    </row>
    <row r="978" spans="1:8" x14ac:dyDescent="0.25">
      <c r="A978" s="21" t="str">
        <f t="shared" si="47"/>
        <v/>
      </c>
      <c r="B978"/>
      <c r="C978"/>
      <c r="F978"/>
      <c r="G978" s="19" t="str">
        <f t="shared" si="45"/>
        <v/>
      </c>
      <c r="H978" s="19" t="str">
        <f t="shared" si="46"/>
        <v/>
      </c>
    </row>
    <row r="979" spans="1:8" x14ac:dyDescent="0.25">
      <c r="A979" s="21" t="str">
        <f t="shared" si="47"/>
        <v/>
      </c>
      <c r="B979"/>
      <c r="C979"/>
      <c r="F979"/>
      <c r="G979" s="19" t="str">
        <f t="shared" si="45"/>
        <v/>
      </c>
      <c r="H979" s="19" t="str">
        <f t="shared" si="46"/>
        <v/>
      </c>
    </row>
    <row r="980" spans="1:8" x14ac:dyDescent="0.25">
      <c r="A980" s="21" t="str">
        <f t="shared" si="47"/>
        <v/>
      </c>
      <c r="B980"/>
      <c r="C980"/>
      <c r="F980"/>
      <c r="G980" s="19" t="str">
        <f t="shared" si="45"/>
        <v/>
      </c>
      <c r="H980" s="19" t="str">
        <f t="shared" si="46"/>
        <v/>
      </c>
    </row>
    <row r="981" spans="1:8" x14ac:dyDescent="0.25">
      <c r="A981" s="21" t="str">
        <f t="shared" si="47"/>
        <v/>
      </c>
      <c r="B981"/>
      <c r="C981"/>
      <c r="F981"/>
      <c r="G981" s="19" t="str">
        <f t="shared" si="45"/>
        <v/>
      </c>
      <c r="H981" s="19" t="str">
        <f t="shared" si="46"/>
        <v/>
      </c>
    </row>
    <row r="982" spans="1:8" x14ac:dyDescent="0.25">
      <c r="A982" s="21" t="str">
        <f t="shared" si="47"/>
        <v/>
      </c>
      <c r="B982"/>
      <c r="C982"/>
      <c r="F982"/>
      <c r="G982" s="19" t="str">
        <f t="shared" si="45"/>
        <v/>
      </c>
      <c r="H982" s="19" t="str">
        <f t="shared" si="46"/>
        <v/>
      </c>
    </row>
    <row r="983" spans="1:8" x14ac:dyDescent="0.25">
      <c r="A983" s="21" t="str">
        <f t="shared" si="47"/>
        <v/>
      </c>
      <c r="B983"/>
      <c r="C983"/>
      <c r="F983"/>
      <c r="G983" s="19" t="str">
        <f t="shared" si="45"/>
        <v/>
      </c>
      <c r="H983" s="19" t="str">
        <f t="shared" si="46"/>
        <v/>
      </c>
    </row>
    <row r="984" spans="1:8" x14ac:dyDescent="0.25">
      <c r="A984" s="21" t="str">
        <f t="shared" si="47"/>
        <v/>
      </c>
      <c r="B984"/>
      <c r="C984"/>
      <c r="F984"/>
      <c r="G984" s="19" t="str">
        <f t="shared" si="45"/>
        <v/>
      </c>
      <c r="H984" s="19" t="str">
        <f t="shared" si="46"/>
        <v/>
      </c>
    </row>
    <row r="985" spans="1:8" x14ac:dyDescent="0.25">
      <c r="A985" s="21" t="str">
        <f t="shared" si="47"/>
        <v/>
      </c>
      <c r="B985"/>
      <c r="C985"/>
      <c r="F985"/>
      <c r="G985" s="19" t="str">
        <f t="shared" si="45"/>
        <v/>
      </c>
      <c r="H985" s="19" t="str">
        <f t="shared" si="46"/>
        <v/>
      </c>
    </row>
    <row r="986" spans="1:8" x14ac:dyDescent="0.25">
      <c r="A986" s="21" t="str">
        <f t="shared" si="47"/>
        <v/>
      </c>
      <c r="B986"/>
      <c r="C986"/>
      <c r="F986"/>
      <c r="G986" s="19" t="str">
        <f t="shared" si="45"/>
        <v/>
      </c>
      <c r="H986" s="19" t="str">
        <f t="shared" si="46"/>
        <v/>
      </c>
    </row>
    <row r="987" spans="1:8" x14ac:dyDescent="0.25">
      <c r="A987" s="21" t="str">
        <f t="shared" si="47"/>
        <v/>
      </c>
      <c r="B987"/>
      <c r="C987"/>
      <c r="F987"/>
      <c r="G987" s="19" t="str">
        <f t="shared" si="45"/>
        <v/>
      </c>
      <c r="H987" s="19" t="str">
        <f t="shared" si="46"/>
        <v/>
      </c>
    </row>
    <row r="988" spans="1:8" x14ac:dyDescent="0.25">
      <c r="A988" s="21" t="str">
        <f t="shared" si="47"/>
        <v/>
      </c>
      <c r="B988"/>
      <c r="C988"/>
      <c r="F988"/>
      <c r="G988" s="19" t="str">
        <f t="shared" si="45"/>
        <v/>
      </c>
      <c r="H988" s="19" t="str">
        <f t="shared" si="46"/>
        <v/>
      </c>
    </row>
    <row r="989" spans="1:8" x14ac:dyDescent="0.25">
      <c r="A989" s="21" t="str">
        <f t="shared" si="47"/>
        <v/>
      </c>
      <c r="B989"/>
      <c r="C989"/>
      <c r="F989"/>
      <c r="G989" s="19" t="str">
        <f t="shared" si="45"/>
        <v/>
      </c>
      <c r="H989" s="19" t="str">
        <f t="shared" si="46"/>
        <v/>
      </c>
    </row>
    <row r="990" spans="1:8" x14ac:dyDescent="0.25">
      <c r="A990" s="21" t="str">
        <f t="shared" si="47"/>
        <v/>
      </c>
      <c r="B990"/>
      <c r="C990"/>
      <c r="F990"/>
      <c r="G990" s="19" t="str">
        <f t="shared" si="45"/>
        <v/>
      </c>
      <c r="H990" s="19" t="str">
        <f t="shared" si="46"/>
        <v/>
      </c>
    </row>
    <row r="991" spans="1:8" x14ac:dyDescent="0.25">
      <c r="A991" s="21" t="str">
        <f t="shared" si="47"/>
        <v/>
      </c>
      <c r="B991"/>
      <c r="C991"/>
      <c r="F991"/>
      <c r="G991" s="19" t="str">
        <f t="shared" si="45"/>
        <v/>
      </c>
      <c r="H991" s="19" t="str">
        <f t="shared" si="46"/>
        <v/>
      </c>
    </row>
    <row r="992" spans="1:8" x14ac:dyDescent="0.25">
      <c r="A992" s="21" t="str">
        <f t="shared" si="47"/>
        <v/>
      </c>
      <c r="B992"/>
      <c r="C992"/>
      <c r="F992"/>
      <c r="G992" s="19" t="str">
        <f t="shared" si="45"/>
        <v/>
      </c>
      <c r="H992" s="19" t="str">
        <f t="shared" si="46"/>
        <v/>
      </c>
    </row>
    <row r="993" spans="1:8" x14ac:dyDescent="0.25">
      <c r="A993" s="21" t="str">
        <f t="shared" si="47"/>
        <v/>
      </c>
      <c r="B993"/>
      <c r="C993"/>
      <c r="F993"/>
      <c r="G993" s="19" t="str">
        <f t="shared" si="45"/>
        <v/>
      </c>
      <c r="H993" s="19" t="str">
        <f t="shared" si="46"/>
        <v/>
      </c>
    </row>
    <row r="994" spans="1:8" x14ac:dyDescent="0.25">
      <c r="A994" s="21" t="str">
        <f t="shared" si="47"/>
        <v/>
      </c>
      <c r="B994"/>
      <c r="C994"/>
      <c r="F994"/>
      <c r="G994" s="19" t="str">
        <f t="shared" si="45"/>
        <v/>
      </c>
      <c r="H994" s="19" t="str">
        <f t="shared" si="46"/>
        <v/>
      </c>
    </row>
    <row r="995" spans="1:8" x14ac:dyDescent="0.25">
      <c r="A995" s="21" t="str">
        <f t="shared" si="47"/>
        <v/>
      </c>
      <c r="B995"/>
      <c r="C995"/>
      <c r="F995"/>
      <c r="G995" s="19" t="str">
        <f t="shared" si="45"/>
        <v/>
      </c>
      <c r="H995" s="19" t="str">
        <f t="shared" si="46"/>
        <v/>
      </c>
    </row>
    <row r="996" spans="1:8" x14ac:dyDescent="0.25">
      <c r="A996" s="21" t="str">
        <f t="shared" si="47"/>
        <v/>
      </c>
      <c r="B996"/>
      <c r="C996"/>
      <c r="F996"/>
      <c r="G996" s="19" t="str">
        <f t="shared" si="45"/>
        <v/>
      </c>
      <c r="H996" s="19" t="str">
        <f t="shared" si="46"/>
        <v/>
      </c>
    </row>
    <row r="997" spans="1:8" x14ac:dyDescent="0.25">
      <c r="A997" s="21" t="str">
        <f t="shared" si="47"/>
        <v/>
      </c>
      <c r="B997"/>
      <c r="C997"/>
      <c r="F997"/>
      <c r="G997" s="19" t="str">
        <f t="shared" si="45"/>
        <v/>
      </c>
      <c r="H997" s="19" t="str">
        <f t="shared" si="46"/>
        <v/>
      </c>
    </row>
    <row r="998" spans="1:8" x14ac:dyDescent="0.25">
      <c r="A998" s="21" t="str">
        <f t="shared" si="47"/>
        <v/>
      </c>
      <c r="B998"/>
      <c r="C998"/>
      <c r="F998"/>
      <c r="G998" s="19" t="str">
        <f t="shared" si="45"/>
        <v/>
      </c>
      <c r="H998" s="19" t="str">
        <f t="shared" si="46"/>
        <v/>
      </c>
    </row>
    <row r="999" spans="1:8" x14ac:dyDescent="0.25">
      <c r="A999" s="21" t="str">
        <f t="shared" si="47"/>
        <v/>
      </c>
      <c r="B999"/>
      <c r="C999"/>
      <c r="F999"/>
      <c r="G999" s="19" t="str">
        <f t="shared" si="45"/>
        <v/>
      </c>
      <c r="H999" s="19" t="str">
        <f t="shared" si="46"/>
        <v/>
      </c>
    </row>
    <row r="1000" spans="1:8" x14ac:dyDescent="0.25">
      <c r="A1000" s="21" t="str">
        <f t="shared" si="47"/>
        <v/>
      </c>
      <c r="B1000"/>
      <c r="C1000"/>
      <c r="F1000"/>
      <c r="G1000" s="19" t="str">
        <f t="shared" si="45"/>
        <v/>
      </c>
      <c r="H1000" s="19" t="str">
        <f t="shared" si="46"/>
        <v/>
      </c>
    </row>
    <row r="1001" spans="1:8" x14ac:dyDescent="0.25">
      <c r="A1001" s="21" t="str">
        <f>IF(LEN(B1001)&gt;0,RANK(C1001,C$3:C$1002,0),"")</f>
        <v/>
      </c>
      <c r="B1001"/>
      <c r="C1001"/>
      <c r="F1001"/>
      <c r="G1001" s="19" t="str">
        <f t="shared" si="45"/>
        <v/>
      </c>
      <c r="H1001" s="19" t="str">
        <f t="shared" si="46"/>
        <v/>
      </c>
    </row>
    <row r="1002" spans="1:8" x14ac:dyDescent="0.25">
      <c r="A1002" s="21" t="str">
        <f>IF(LEN(B1002)&gt;0,RANK(C1002,C$3:C$1002,0),"")</f>
        <v/>
      </c>
      <c r="B1002"/>
      <c r="C1002"/>
      <c r="F1002"/>
      <c r="G1002" s="19" t="str">
        <f t="shared" si="45"/>
        <v/>
      </c>
      <c r="H1002" s="19" t="str">
        <f t="shared" si="46"/>
        <v/>
      </c>
    </row>
  </sheetData>
  <mergeCells count="2">
    <mergeCell ref="A1:C1"/>
    <mergeCell ref="F1:H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8B650-9455-4A09-AAC6-7478A6AF583B}">
  <sheetPr codeName="Sheet9"/>
  <dimension ref="A1:D2"/>
  <sheetViews>
    <sheetView topLeftCell="A2" workbookViewId="0">
      <selection activeCell="D12" sqref="D12"/>
    </sheetView>
  </sheetViews>
  <sheetFormatPr defaultColWidth="0" defaultRowHeight="15" x14ac:dyDescent="0.25"/>
  <cols>
    <col min="1" max="1" width="7.140625" customWidth="1"/>
    <col min="2" max="2" width="29.28515625" customWidth="1"/>
    <col min="3" max="3" width="19.5703125" bestFit="1" customWidth="1"/>
    <col min="4" max="4" width="8.7109375" customWidth="1"/>
    <col min="5" max="16384" width="9.140625" hidden="1"/>
  </cols>
  <sheetData>
    <row r="1" spans="1:3" ht="51.75" customHeight="1" x14ac:dyDescent="0.25">
      <c r="A1" s="120" t="s">
        <v>48</v>
      </c>
      <c r="B1" s="120"/>
      <c r="C1" s="120"/>
    </row>
    <row r="2" spans="1:3" ht="18.75" x14ac:dyDescent="0.25">
      <c r="A2" s="20" t="s">
        <v>21</v>
      </c>
      <c r="B2" s="20" t="s">
        <v>44</v>
      </c>
      <c r="C2" s="20" t="s">
        <v>42</v>
      </c>
    </row>
  </sheetData>
  <mergeCells count="1">
    <mergeCell ref="A1: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0999-01A6-4391-AD23-46FD86321EB9}">
  <sheetPr codeName="Sheet10"/>
  <dimension ref="A1:E1"/>
  <sheetViews>
    <sheetView workbookViewId="0">
      <selection activeCell="C1" sqref="C1"/>
    </sheetView>
  </sheetViews>
  <sheetFormatPr defaultColWidth="0" defaultRowHeight="15" x14ac:dyDescent="0.25"/>
  <cols>
    <col min="1" max="1" width="7.5703125" bestFit="1" customWidth="1"/>
    <col min="2" max="2" width="23.140625" bestFit="1" customWidth="1"/>
    <col min="3" max="3" width="9.42578125" bestFit="1" customWidth="1"/>
    <col min="4" max="4" width="19.5703125" bestFit="1" customWidth="1"/>
    <col min="5" max="5" width="9.140625" customWidth="1"/>
    <col min="6" max="16384" width="9.140625" hidden="1"/>
  </cols>
  <sheetData>
    <row r="1" spans="1:4" ht="21" x14ac:dyDescent="0.25">
      <c r="A1" s="20" t="s">
        <v>21</v>
      </c>
      <c r="B1" s="20" t="s">
        <v>44</v>
      </c>
      <c r="C1" s="20" t="s">
        <v>46</v>
      </c>
      <c r="D1" s="20" t="s">
        <v>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9C7BC-4973-4C8E-8211-2A8F7EEA9F85}">
  <sheetPr codeName="Sheet20"/>
  <dimension ref="A1:X14"/>
  <sheetViews>
    <sheetView tabSelected="1" zoomScale="106" zoomScaleNormal="106" workbookViewId="0">
      <selection activeCell="F4" sqref="F4"/>
    </sheetView>
  </sheetViews>
  <sheetFormatPr defaultColWidth="0" defaultRowHeight="15" x14ac:dyDescent="0.25"/>
  <cols>
    <col min="1" max="1" width="21.85546875" style="33" bestFit="1" customWidth="1"/>
    <col min="2" max="2" width="23.7109375" style="33" bestFit="1" customWidth="1"/>
    <col min="3" max="3" width="12" style="18" bestFit="1" customWidth="1"/>
    <col min="4" max="4" width="9.140625" customWidth="1"/>
    <col min="5" max="5" width="7.5703125" bestFit="1" customWidth="1"/>
    <col min="6" max="6" width="20.140625" bestFit="1" customWidth="1"/>
    <col min="7" max="7" width="9.42578125" bestFit="1" customWidth="1"/>
    <col min="8" max="8" width="16" bestFit="1" customWidth="1"/>
    <col min="9" max="9" width="9.140625" customWidth="1"/>
    <col min="10" max="10" width="7.5703125" bestFit="1" customWidth="1"/>
    <col min="11" max="11" width="22.85546875" bestFit="1" customWidth="1"/>
    <col min="12" max="12" width="9.42578125" bestFit="1" customWidth="1"/>
    <col min="13" max="13" width="16" bestFit="1" customWidth="1"/>
    <col min="14" max="14" width="9.140625" customWidth="1"/>
    <col min="15" max="15" width="7.5703125" bestFit="1" customWidth="1"/>
    <col min="16" max="16" width="21.5703125" bestFit="1" customWidth="1"/>
    <col min="17" max="17" width="9.42578125" bestFit="1" customWidth="1"/>
    <col min="18" max="18" width="16" bestFit="1" customWidth="1"/>
    <col min="19" max="19" width="9.140625" customWidth="1"/>
    <col min="20" max="20" width="7.5703125" bestFit="1" customWidth="1"/>
    <col min="21" max="21" width="20.28515625" bestFit="1" customWidth="1"/>
    <col min="22" max="22" width="9.42578125" bestFit="1" customWidth="1"/>
    <col min="23" max="23" width="16" bestFit="1" customWidth="1"/>
    <col min="24" max="24" width="9.140625" customWidth="1"/>
    <col min="25" max="16384" width="9.140625" hidden="1"/>
  </cols>
  <sheetData>
    <row r="1" spans="1:23" ht="19.5" thickBot="1" x14ac:dyDescent="0.3">
      <c r="A1" s="52" t="s">
        <v>33</v>
      </c>
      <c r="B1" s="53" t="s">
        <v>47</v>
      </c>
      <c r="C1" s="55"/>
      <c r="E1" s="123" t="s">
        <v>29</v>
      </c>
      <c r="F1" s="124"/>
      <c r="G1" s="124"/>
      <c r="H1" s="125"/>
      <c r="J1" s="126" t="s">
        <v>30</v>
      </c>
      <c r="K1" s="127"/>
      <c r="L1" s="127"/>
      <c r="M1" s="128"/>
      <c r="O1" s="129" t="s">
        <v>31</v>
      </c>
      <c r="P1" s="130"/>
      <c r="Q1" s="130"/>
      <c r="R1" s="131"/>
      <c r="T1" s="132" t="s">
        <v>32</v>
      </c>
      <c r="U1" s="133"/>
      <c r="V1" s="133"/>
      <c r="W1" s="134"/>
    </row>
    <row r="2" spans="1:23" ht="21.75" thickBot="1" x14ac:dyDescent="0.3">
      <c r="A2" s="34" t="str">
        <f>IFERROR(MEDIAN('6_Results'!$C:$C),"")</f>
        <v/>
      </c>
      <c r="B2" s="34" t="str">
        <f>IFERROR(MEDIAN('6_Results'!$D:$D),"")</f>
        <v/>
      </c>
      <c r="E2" s="74" t="s">
        <v>21</v>
      </c>
      <c r="F2" s="75" t="s">
        <v>44</v>
      </c>
      <c r="G2" s="75" t="s">
        <v>46</v>
      </c>
      <c r="H2" s="76" t="s">
        <v>43</v>
      </c>
      <c r="J2" s="77" t="s">
        <v>21</v>
      </c>
      <c r="K2" s="78" t="s">
        <v>44</v>
      </c>
      <c r="L2" s="78" t="s">
        <v>46</v>
      </c>
      <c r="M2" s="79" t="s">
        <v>43</v>
      </c>
      <c r="O2" s="80" t="s">
        <v>21</v>
      </c>
      <c r="P2" s="81" t="s">
        <v>44</v>
      </c>
      <c r="Q2" s="81" t="s">
        <v>46</v>
      </c>
      <c r="R2" s="82" t="s">
        <v>43</v>
      </c>
      <c r="T2" s="83" t="s">
        <v>21</v>
      </c>
      <c r="U2" s="84" t="s">
        <v>44</v>
      </c>
      <c r="V2" s="84" t="s">
        <v>46</v>
      </c>
      <c r="W2" s="85" t="s">
        <v>43</v>
      </c>
    </row>
    <row r="3" spans="1:23" ht="15.75" thickBot="1" x14ac:dyDescent="0.3"/>
    <row r="4" spans="1:23" ht="21" customHeight="1" x14ac:dyDescent="0.25">
      <c r="A4" s="49" t="s">
        <v>34</v>
      </c>
      <c r="B4" s="50" t="s">
        <v>45</v>
      </c>
      <c r="C4" s="51" t="s">
        <v>35</v>
      </c>
    </row>
    <row r="5" spans="1:23" x14ac:dyDescent="0.25">
      <c r="A5" s="90" t="s">
        <v>26</v>
      </c>
      <c r="B5" s="91"/>
      <c r="C5" s="92"/>
    </row>
    <row r="6" spans="1:23" x14ac:dyDescent="0.25">
      <c r="A6" s="87" t="s">
        <v>27</v>
      </c>
      <c r="B6" s="88"/>
      <c r="C6" s="89"/>
    </row>
    <row r="7" spans="1:23" x14ac:dyDescent="0.25">
      <c r="A7" s="93" t="s">
        <v>28</v>
      </c>
      <c r="B7" s="94"/>
      <c r="C7" s="95"/>
    </row>
    <row r="8" spans="1:23" ht="15.75" thickBot="1" x14ac:dyDescent="0.3">
      <c r="A8" s="96" t="s">
        <v>15</v>
      </c>
      <c r="B8" s="97"/>
      <c r="C8" s="98"/>
    </row>
    <row r="9" spans="1:23" ht="15.75" thickBot="1" x14ac:dyDescent="0.3"/>
    <row r="10" spans="1:23" ht="19.5" thickBot="1" x14ac:dyDescent="0.3">
      <c r="A10" s="135" t="s">
        <v>36</v>
      </c>
      <c r="B10" s="136"/>
      <c r="C10" s="137"/>
    </row>
    <row r="11" spans="1:23" x14ac:dyDescent="0.25">
      <c r="A11" s="86" t="s">
        <v>26</v>
      </c>
      <c r="B11" s="138" t="s">
        <v>38</v>
      </c>
      <c r="C11" s="139"/>
    </row>
    <row r="12" spans="1:23" x14ac:dyDescent="0.25">
      <c r="A12" s="87" t="s">
        <v>27</v>
      </c>
      <c r="B12" s="140" t="s">
        <v>37</v>
      </c>
      <c r="C12" s="141"/>
    </row>
    <row r="13" spans="1:23" x14ac:dyDescent="0.25">
      <c r="A13" s="93" t="s">
        <v>28</v>
      </c>
      <c r="B13" s="142" t="s">
        <v>40</v>
      </c>
      <c r="C13" s="143"/>
    </row>
    <row r="14" spans="1:23" ht="15.75" thickBot="1" x14ac:dyDescent="0.3">
      <c r="A14" s="96" t="s">
        <v>15</v>
      </c>
      <c r="B14" s="121" t="s">
        <v>39</v>
      </c>
      <c r="C14" s="122"/>
    </row>
  </sheetData>
  <mergeCells count="9">
    <mergeCell ref="B14:C14"/>
    <mergeCell ref="E1:H1"/>
    <mergeCell ref="J1:M1"/>
    <mergeCell ref="O1:R1"/>
    <mergeCell ref="T1:W1"/>
    <mergeCell ref="A10:C10"/>
    <mergeCell ref="B11:C11"/>
    <mergeCell ref="B12:C12"/>
    <mergeCell ref="B13:C13"/>
  </mergeCells>
  <conditionalFormatting sqref="E3:H1002">
    <cfRule type="expression" dxfId="3" priority="4">
      <formula>LEN(E3)&gt;0</formula>
    </cfRule>
  </conditionalFormatting>
  <conditionalFormatting sqref="J3:M1002">
    <cfRule type="expression" dxfId="2" priority="140">
      <formula>LEN(J3)&gt;0</formula>
    </cfRule>
  </conditionalFormatting>
  <conditionalFormatting sqref="O3:R1002">
    <cfRule type="expression" dxfId="1" priority="2">
      <formula>LEN(O3)&gt;0</formula>
    </cfRule>
  </conditionalFormatting>
  <conditionalFormatting sqref="T3:W1002">
    <cfRule type="expression" dxfId="0" priority="1">
      <formula>LEN(T3)&gt;0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AHP_Scale</vt:lpstr>
      <vt:lpstr>Parameters_Soil</vt:lpstr>
      <vt:lpstr>1_Data</vt:lpstr>
      <vt:lpstr>2_Ranking</vt:lpstr>
      <vt:lpstr>3_PWCM</vt:lpstr>
      <vt:lpstr>Run_Macros</vt:lpstr>
      <vt:lpstr>4_SQI</vt:lpstr>
      <vt:lpstr>5_WUE</vt:lpstr>
      <vt:lpstr>6_Results</vt:lpstr>
      <vt:lpstr>7_Classification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Soham</dc:creator>
  <cp:lastModifiedBy>Soham</cp:lastModifiedBy>
  <dcterms:created xsi:type="dcterms:W3CDTF">2020-07-20T06:14:15Z</dcterms:created>
  <dcterms:modified xsi:type="dcterms:W3CDTF">2021-08-09T14:56:03Z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